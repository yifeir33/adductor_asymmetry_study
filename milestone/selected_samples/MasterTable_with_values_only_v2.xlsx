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fei/Documents/dshs/tsm11/milestone/selected_samples/"/>
    </mc:Choice>
  </mc:AlternateContent>
  <xr:revisionPtr revIDLastSave="0" documentId="13_ncr:1_{9651BD93-1B1C-784E-A441-6A38B6F388E8}" xr6:coauthVersionLast="47" xr6:coauthVersionMax="47" xr10:uidLastSave="{00000000-0000-0000-0000-000000000000}"/>
  <bookViews>
    <workbookView xWindow="0" yWindow="760" windowWidth="30240" windowHeight="17840" activeTab="1" xr2:uid="{00000000-000D-0000-FFFF-FFFF00000000}"/>
  </bookViews>
  <sheets>
    <sheet name="Sheet1" sheetId="1" r:id="rId1"/>
    <sheet name="anthro_tsm11" sheetId="2" r:id="rId2"/>
  </sheets>
  <definedNames>
    <definedName name="_xlnm._FilterDatabase" localSheetId="0" hidden="1">Sheet1!$A$1:$AL$331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E20" i="2"/>
  <c r="F20" i="2"/>
  <c r="D14" i="2"/>
  <c r="E14" i="2"/>
  <c r="F14" i="2"/>
  <c r="G14" i="2"/>
  <c r="G20" i="2" s="1"/>
  <c r="H14" i="2"/>
  <c r="H20" i="2" s="1"/>
  <c r="I14" i="2"/>
  <c r="I20" i="2" s="1"/>
  <c r="E18" i="2"/>
  <c r="F18" i="2"/>
  <c r="G18" i="2"/>
  <c r="H18" i="2"/>
  <c r="I18" i="2"/>
  <c r="D18" i="2"/>
  <c r="C14" i="2"/>
  <c r="C18" i="2"/>
  <c r="C20" i="2" l="1"/>
</calcChain>
</file>

<file path=xl/sharedStrings.xml><?xml version="1.0" encoding="utf-8"?>
<sst xmlns="http://schemas.openxmlformats.org/spreadsheetml/2006/main" count="3313" uniqueCount="850">
  <si>
    <t>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</si>
  <si>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</si>
  <si>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</si>
  <si>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</si>
  <si>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</si>
  <si>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</si>
  <si>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</si>
  <si>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</si>
  <si>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</si>
  <si>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</si>
  <si>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</si>
  <si>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</si>
  <si>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</si>
  <si>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</si>
  <si>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</si>
  <si>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</si>
  <si>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</si>
  <si>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</si>
  <si>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</si>
  <si>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</si>
  <si>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</si>
  <si>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</si>
  <si>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</si>
  <si>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</si>
  <si>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</si>
  <si>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</si>
  <si>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</si>
  <si>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</si>
  <si>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</si>
  <si>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</si>
  <si>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</si>
  <si>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</si>
  <si>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</si>
  <si>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P39</t>
  </si>
  <si>
    <t>P41</t>
  </si>
  <si>
    <t>P42</t>
  </si>
  <si>
    <t>P43</t>
  </si>
  <si>
    <t>P45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</si>
  <si>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</si>
  <si>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</si>
  <si>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</si>
  <si>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</si>
  <si>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</si>
  <si>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</si>
  <si>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</si>
  <si>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</si>
  <si>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</si>
  <si>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</si>
  <si>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</si>
  <si>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</si>
  <si>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</si>
  <si>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</si>
  <si>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P64</t>
  </si>
  <si>
    <t>P65</t>
  </si>
  <si>
    <t>P66</t>
  </si>
  <si>
    <t>P67</t>
  </si>
  <si>
    <t>P68</t>
  </si>
  <si>
    <t>P69</t>
  </si>
  <si>
    <t>P70</t>
  </si>
  <si>
    <t>P72</t>
  </si>
  <si>
    <t>P73</t>
  </si>
  <si>
    <t>P74</t>
  </si>
  <si>
    <t>P75</t>
  </si>
  <si>
    <t>P76</t>
  </si>
  <si>
    <t>P77</t>
  </si>
  <si>
    <t>P80</t>
  </si>
  <si>
    <t>P81</t>
  </si>
  <si>
    <t>P82</t>
  </si>
  <si>
    <t>P78</t>
  </si>
  <si>
    <t>P79</t>
  </si>
  <si>
    <t>P83</t>
  </si>
  <si>
    <t>P84</t>
  </si>
  <si>
    <t>P88</t>
  </si>
  <si>
    <t>P89</t>
  </si>
  <si>
    <t>P90</t>
  </si>
  <si>
    <t>P92</t>
  </si>
  <si>
    <t>P93</t>
  </si>
  <si>
    <t>P94</t>
  </si>
  <si>
    <t>P95</t>
  </si>
  <si>
    <t>P120</t>
  </si>
  <si>
    <t>P121</t>
  </si>
  <si>
    <t>P122</t>
  </si>
  <si>
    <t>P134</t>
  </si>
  <si>
    <t>P138</t>
  </si>
  <si>
    <t>P139</t>
  </si>
  <si>
    <t>P140</t>
  </si>
  <si>
    <t>P141</t>
  </si>
  <si>
    <t>P142</t>
  </si>
  <si>
    <t>P143</t>
  </si>
  <si>
    <t>P162</t>
  </si>
  <si>
    <t>P85</t>
  </si>
  <si>
    <t>P145</t>
  </si>
  <si>
    <t>Team</t>
  </si>
  <si>
    <t>U12</t>
  </si>
  <si>
    <t>U13</t>
  </si>
  <si>
    <t>U14</t>
  </si>
  <si>
    <t>U15</t>
  </si>
  <si>
    <t>U16</t>
  </si>
  <si>
    <t>U17</t>
  </si>
  <si>
    <t>Date</t>
  </si>
  <si>
    <t>Identifier</t>
  </si>
  <si>
    <t>P01_U12_230816</t>
  </si>
  <si>
    <t>P02_U12_230816</t>
  </si>
  <si>
    <t>P03_U12_230816</t>
  </si>
  <si>
    <t>P04_U12_230816</t>
  </si>
  <si>
    <t>P05_U12_230821</t>
  </si>
  <si>
    <t>P06_U12_230816</t>
  </si>
  <si>
    <t>P07_U12_230822</t>
  </si>
  <si>
    <t>P08_U12_230822</t>
  </si>
  <si>
    <t>P09_U12_230823</t>
  </si>
  <si>
    <t>P10_U12_230823</t>
  </si>
  <si>
    <t>P11_U12_230823</t>
  </si>
  <si>
    <t>P12_U12_230823</t>
  </si>
  <si>
    <t>P13_U13_230824</t>
  </si>
  <si>
    <t>P14_U13_230824</t>
  </si>
  <si>
    <t>P15_U13_230824</t>
  </si>
  <si>
    <t>P16_U13_230824</t>
  </si>
  <si>
    <t>P17_U13_230824</t>
  </si>
  <si>
    <t>P18_U13_230824</t>
  </si>
  <si>
    <t>P19_U13_230824</t>
  </si>
  <si>
    <t>P25_U14_230825</t>
  </si>
  <si>
    <t>P26_U14_230825</t>
  </si>
  <si>
    <t>P27_U14_230825</t>
  </si>
  <si>
    <t>P28_U14_230825</t>
  </si>
  <si>
    <t>P29_U14_230825</t>
  </si>
  <si>
    <t>P30_U14_230825</t>
  </si>
  <si>
    <t>P31_U14_230825</t>
  </si>
  <si>
    <t>P32_U14_230825</t>
  </si>
  <si>
    <t>P33_U14_230825</t>
  </si>
  <si>
    <t>P34_U14_230825</t>
  </si>
  <si>
    <t>P35_U14_230825</t>
  </si>
  <si>
    <t>P36_U14_230825</t>
  </si>
  <si>
    <t>P37_U15_230816</t>
  </si>
  <si>
    <t>P39_U15_230816</t>
  </si>
  <si>
    <t>P41_U15_230816</t>
  </si>
  <si>
    <t>P42_U15_230816</t>
  </si>
  <si>
    <t>P43_U15_230816</t>
  </si>
  <si>
    <t>P45_U15_230816</t>
  </si>
  <si>
    <t>P47_U15_230816</t>
  </si>
  <si>
    <t>P48_U15_230816</t>
  </si>
  <si>
    <t>P49_U15_230816</t>
  </si>
  <si>
    <t>P50_U15_230816</t>
  </si>
  <si>
    <t>P51_U15_230816</t>
  </si>
  <si>
    <t>P52_U15_230816</t>
  </si>
  <si>
    <t>P53_U15_230816</t>
  </si>
  <si>
    <t>P54_U16_230822</t>
  </si>
  <si>
    <t>P55_U16_230822</t>
  </si>
  <si>
    <t>P56_U16_230822</t>
  </si>
  <si>
    <t>P57_U16_230822</t>
  </si>
  <si>
    <t>P58_U16_230823</t>
  </si>
  <si>
    <t>P59_U16_230823</t>
  </si>
  <si>
    <t>P60_U16_230823</t>
  </si>
  <si>
    <t>P01_U12_231114</t>
  </si>
  <si>
    <t>P02_U12_231114</t>
  </si>
  <si>
    <t>P03_U12_231114</t>
  </si>
  <si>
    <t>P04_U12_231113</t>
  </si>
  <si>
    <t>P05_U12_231114</t>
  </si>
  <si>
    <t>P06_U12_231113</t>
  </si>
  <si>
    <t>P07_U12_231113</t>
  </si>
  <si>
    <t>P08_U12_231114</t>
  </si>
  <si>
    <t>P09_U12_231114</t>
  </si>
  <si>
    <t>P10_U12_231113</t>
  </si>
  <si>
    <t>P11_U12_231114</t>
  </si>
  <si>
    <t>P12_U12_231114</t>
  </si>
  <si>
    <t>P13_U13_231115</t>
  </si>
  <si>
    <t>P15_U13_231115</t>
  </si>
  <si>
    <t>P16_U13_231122</t>
  </si>
  <si>
    <t>P17_U13_231115</t>
  </si>
  <si>
    <t>P18_U13_231115</t>
  </si>
  <si>
    <t>P19_U13_231122</t>
  </si>
  <si>
    <t>P26_U14_231123</t>
  </si>
  <si>
    <t>P27_U14_231120</t>
  </si>
  <si>
    <t>P28_U14_231120</t>
  </si>
  <si>
    <t>P29_U14_231123</t>
  </si>
  <si>
    <t>P30_U14_231123</t>
  </si>
  <si>
    <t>P31_U14_231120</t>
  </si>
  <si>
    <t>P33_U14_231123</t>
  </si>
  <si>
    <t>P34_U14_231123</t>
  </si>
  <si>
    <t>P35_U14_231120</t>
  </si>
  <si>
    <t>P36_U14_231120</t>
  </si>
  <si>
    <t>P37_U15_231117</t>
  </si>
  <si>
    <t>P39_U15_231114</t>
  </si>
  <si>
    <t>P41_U15_231117</t>
  </si>
  <si>
    <t>P42_U15_231114</t>
  </si>
  <si>
    <t>P43_U15_231121</t>
  </si>
  <si>
    <t>P45_U15_231117</t>
  </si>
  <si>
    <t>P47_U15_231121</t>
  </si>
  <si>
    <t>P48_U15_231117</t>
  </si>
  <si>
    <t>P49_U15_231117</t>
  </si>
  <si>
    <t>P50_U15_231117</t>
  </si>
  <si>
    <t>P51_U15_231117</t>
  </si>
  <si>
    <t>P52_U15_231117</t>
  </si>
  <si>
    <t>P53_U15_231117</t>
  </si>
  <si>
    <t>P54_U16_231121</t>
  </si>
  <si>
    <t>P55_U16_231121</t>
  </si>
  <si>
    <t>P56_U16_231121</t>
  </si>
  <si>
    <t>P57_U16_231121</t>
  </si>
  <si>
    <t>P59_U16_231121</t>
  </si>
  <si>
    <t>P64_U15_231117</t>
  </si>
  <si>
    <t>P65_U15_231117</t>
  </si>
  <si>
    <t>P66_U14_231120</t>
  </si>
  <si>
    <t>P67_U14_231120</t>
  </si>
  <si>
    <t>P68_U14_231120</t>
  </si>
  <si>
    <t>P69_U14_231120</t>
  </si>
  <si>
    <t>P70_U13_231115</t>
  </si>
  <si>
    <t>P72_U13_231122</t>
  </si>
  <si>
    <t>P73_U13_231122</t>
  </si>
  <si>
    <t>P74_U13_231122</t>
  </si>
  <si>
    <t>P75_U15_231121</t>
  </si>
  <si>
    <t>P76_U16_231121</t>
  </si>
  <si>
    <t>P77_U16_231121</t>
  </si>
  <si>
    <t>P80_U16_231121</t>
  </si>
  <si>
    <t>P81_U16_231121</t>
  </si>
  <si>
    <t>P82_U13_231122</t>
  </si>
  <si>
    <t>P01_U12_240322</t>
  </si>
  <si>
    <t>P02_U12_240327</t>
  </si>
  <si>
    <t>P03_U12_240319</t>
  </si>
  <si>
    <t>P04_U12_240325</t>
  </si>
  <si>
    <t>P05_U12_240327</t>
  </si>
  <si>
    <t>P06_U12_240325</t>
  </si>
  <si>
    <t>P08_U12_240325</t>
  </si>
  <si>
    <t>P09_U12_240325</t>
  </si>
  <si>
    <t>P10_U12_240325</t>
  </si>
  <si>
    <t>P11_U12_240327</t>
  </si>
  <si>
    <t>P12_U12_240319</t>
  </si>
  <si>
    <t>P13_U13_240327</t>
  </si>
  <si>
    <t>P15_U13_240327</t>
  </si>
  <si>
    <t>P16_U13_240322</t>
  </si>
  <si>
    <t>P18_U13_240327</t>
  </si>
  <si>
    <t>P19_U13_240327</t>
  </si>
  <si>
    <t>P27_U14_240319</t>
  </si>
  <si>
    <t>P29_U14_240322</t>
  </si>
  <si>
    <t>P30_U14_240319</t>
  </si>
  <si>
    <t>P32_U14_240322</t>
  </si>
  <si>
    <t>P33_U14_240322</t>
  </si>
  <si>
    <t>P35_U14_240319</t>
  </si>
  <si>
    <t>P37_U15_240326</t>
  </si>
  <si>
    <t>P42_U15_240326</t>
  </si>
  <si>
    <t>P43_U15_240326</t>
  </si>
  <si>
    <t>P45_U15_240326</t>
  </si>
  <si>
    <t>P47_U15_240326</t>
  </si>
  <si>
    <t>P48_U15_240326</t>
  </si>
  <si>
    <t>P50_U15_240326</t>
  </si>
  <si>
    <t>P51_U15_240326</t>
  </si>
  <si>
    <t>P52_U15_240326</t>
  </si>
  <si>
    <t>P54_U16_240321</t>
  </si>
  <si>
    <t>P56_U16_240321</t>
  </si>
  <si>
    <t>P57_U16_240326</t>
  </si>
  <si>
    <t>P59_U16_240321</t>
  </si>
  <si>
    <t>P60_U16_240321</t>
  </si>
  <si>
    <t>P65_U15_240326</t>
  </si>
  <si>
    <t>P67_U14_240322</t>
  </si>
  <si>
    <t>P69_U14_240322</t>
  </si>
  <si>
    <t>P70_U13_240327</t>
  </si>
  <si>
    <t>P72_U13_240327</t>
  </si>
  <si>
    <t>P73_U13_240327</t>
  </si>
  <si>
    <t>P74_U13_240327</t>
  </si>
  <si>
    <t>P77_U16_240321</t>
  </si>
  <si>
    <t>P78_U16_240325</t>
  </si>
  <si>
    <t>P79_U16_240321</t>
  </si>
  <si>
    <t>P81_U16_240321</t>
  </si>
  <si>
    <t>P83_U15_240326</t>
  </si>
  <si>
    <t>P84_U16_240326</t>
  </si>
  <si>
    <t>P88_U16_240326</t>
  </si>
  <si>
    <t>P89_U16_240326</t>
  </si>
  <si>
    <t>P90_U16_240325</t>
  </si>
  <si>
    <t>P92_U12_240325</t>
  </si>
  <si>
    <t>P93_U12_240325</t>
  </si>
  <si>
    <t>P94_U15_240326</t>
  </si>
  <si>
    <t>P95_U15_240326</t>
  </si>
  <si>
    <t>P01_U13_240819</t>
  </si>
  <si>
    <t>P02_U13_240819</t>
  </si>
  <si>
    <t>P03_U12_240822</t>
  </si>
  <si>
    <t>P06_U13_240819</t>
  </si>
  <si>
    <t>P08_U13_240819</t>
  </si>
  <si>
    <t>P09_U13_240820</t>
  </si>
  <si>
    <t>P10_U13_240819</t>
  </si>
  <si>
    <t>P11_U13_240819</t>
  </si>
  <si>
    <t>P12_U13_240823</t>
  </si>
  <si>
    <t>P120_U13_240820</t>
  </si>
  <si>
    <t>P121_U13_240820</t>
  </si>
  <si>
    <t>P122_U13_240820</t>
  </si>
  <si>
    <t>P134_U15_240827</t>
  </si>
  <si>
    <t>P138_U15_240827</t>
  </si>
  <si>
    <t>P139_U16_240812</t>
  </si>
  <si>
    <t>P140_U16_240812</t>
  </si>
  <si>
    <t>P141_U16_240812</t>
  </si>
  <si>
    <t>P142_U16_240812</t>
  </si>
  <si>
    <t>P143_U16_240812</t>
  </si>
  <si>
    <t>P15_U14_240822</t>
  </si>
  <si>
    <t>P16_U14_240822</t>
  </si>
  <si>
    <t>P162_U15_240827</t>
  </si>
  <si>
    <t>P18_U14_240823</t>
  </si>
  <si>
    <t>P26_U15_240820</t>
  </si>
  <si>
    <t>P29_U15_240820</t>
  </si>
  <si>
    <t>P30_U15_240820</t>
  </si>
  <si>
    <t>P31_U15_240820</t>
  </si>
  <si>
    <t>P32_U15_240827</t>
  </si>
  <si>
    <t>P33_U15_240820</t>
  </si>
  <si>
    <t>P35_U15_240820</t>
  </si>
  <si>
    <t>P41_U16_240812</t>
  </si>
  <si>
    <t>P42_U16_240826</t>
  </si>
  <si>
    <t>P43_U16_240821</t>
  </si>
  <si>
    <t>P45_U16_240826</t>
  </si>
  <si>
    <t>P47_U16_240826</t>
  </si>
  <si>
    <t>P50_U16_240821</t>
  </si>
  <si>
    <t>P51_U16_240826</t>
  </si>
  <si>
    <t>P52_U16_240821</t>
  </si>
  <si>
    <t>P53_U16_240821</t>
  </si>
  <si>
    <t>P54_U17_240829</t>
  </si>
  <si>
    <t>P55_U17_240828</t>
  </si>
  <si>
    <t>P57_U17_240828</t>
  </si>
  <si>
    <t>P59_U17_240828</t>
  </si>
  <si>
    <t>P60_U17_240829</t>
  </si>
  <si>
    <t>P65_U16_240821</t>
  </si>
  <si>
    <t>P67_U15_240827</t>
  </si>
  <si>
    <t>P69_U15_240827</t>
  </si>
  <si>
    <t>P70_U14_240822</t>
  </si>
  <si>
    <t>P73_U14_240823</t>
  </si>
  <si>
    <t>P74_U14_240823</t>
  </si>
  <si>
    <t>P77_U17_240829</t>
  </si>
  <si>
    <t>P78_U17_240828</t>
  </si>
  <si>
    <t>P80_U17_240829</t>
  </si>
  <si>
    <t>P82_U14_240823</t>
  </si>
  <si>
    <t>P83_U16_240821</t>
  </si>
  <si>
    <t>P89_U17_240828</t>
  </si>
  <si>
    <t>P90_U17_240828</t>
  </si>
  <si>
    <t>P92_U13_240820</t>
  </si>
  <si>
    <t>P93_U13_240819</t>
  </si>
  <si>
    <t>P94_U16_240826</t>
  </si>
  <si>
    <t>P95_U16_240826</t>
  </si>
  <si>
    <t>P01_U13_241127</t>
  </si>
  <si>
    <t>P02_U13_241127</t>
  </si>
  <si>
    <t>P03_U13_241204</t>
  </si>
  <si>
    <t>P04_U13_241127</t>
  </si>
  <si>
    <t>P05_U13_241127</t>
  </si>
  <si>
    <t>P06_U13_241127</t>
  </si>
  <si>
    <t>P08_U13_241127</t>
  </si>
  <si>
    <t>P09_U13_241210</t>
  </si>
  <si>
    <t>P11_U13_241127</t>
  </si>
  <si>
    <t>P12_U13_241127</t>
  </si>
  <si>
    <t>P134_U15_241204</t>
  </si>
  <si>
    <t>P141_U16_241126</t>
  </si>
  <si>
    <t>P142_U16_241126</t>
  </si>
  <si>
    <t>P143_U16_241126</t>
  </si>
  <si>
    <t>P15_U14_241203</t>
  </si>
  <si>
    <t>P19_U14_241203</t>
  </si>
  <si>
    <t>P26_U15_241204</t>
  </si>
  <si>
    <t>P30_U15_241204</t>
  </si>
  <si>
    <t>P32_U15_241204</t>
  </si>
  <si>
    <t>P33_U15_241204</t>
  </si>
  <si>
    <t>P35_U15_241204</t>
  </si>
  <si>
    <t>P41_U16_241126</t>
  </si>
  <si>
    <t>P43_U16_241126</t>
  </si>
  <si>
    <t>P45_U16_241126</t>
  </si>
  <si>
    <t>P50_U16_241126</t>
  </si>
  <si>
    <t>P51_U16_241126</t>
  </si>
  <si>
    <t>P52_U16_241126</t>
  </si>
  <si>
    <t>P53_U16_241126</t>
  </si>
  <si>
    <t>P55_U17_241203</t>
  </si>
  <si>
    <t>P56_U17_241203</t>
  </si>
  <si>
    <t>P57_U17_241203</t>
  </si>
  <si>
    <t>P59_U17_241203</t>
  </si>
  <si>
    <t>P60_U17_241203</t>
  </si>
  <si>
    <t>P64_U16_241126</t>
  </si>
  <si>
    <t>P69_U15_241204</t>
  </si>
  <si>
    <t>P72_U14_241203</t>
  </si>
  <si>
    <t>P73_U14_241203</t>
  </si>
  <si>
    <t>P74_U14_241203</t>
  </si>
  <si>
    <t>P76_U17_241203</t>
  </si>
  <si>
    <t>P77_U17_241203</t>
  </si>
  <si>
    <t>P78_U17_241203</t>
  </si>
  <si>
    <t>P80_U17_241203</t>
  </si>
  <si>
    <t>P82_U14_241203</t>
  </si>
  <si>
    <t>P83_U16_241126</t>
  </si>
  <si>
    <t>P85_U17_241203</t>
  </si>
  <si>
    <t>P88_U17_241203</t>
  </si>
  <si>
    <t>P89_U17_241203</t>
  </si>
  <si>
    <t>P90_U17_241203</t>
  </si>
  <si>
    <t>P92_U13_241127</t>
  </si>
  <si>
    <t>P95_U16_241126</t>
  </si>
  <si>
    <t>P01_U13_250410</t>
  </si>
  <si>
    <t>P02_U13_250423</t>
  </si>
  <si>
    <t>P03_U13_250422</t>
  </si>
  <si>
    <t>P05_U13_250410</t>
  </si>
  <si>
    <t>P06_U13_250410</t>
  </si>
  <si>
    <t>P08_U13_250410</t>
  </si>
  <si>
    <t>P09_U13_250410</t>
  </si>
  <si>
    <t>P10_U13_250410</t>
  </si>
  <si>
    <t>P11_U13_250423</t>
  </si>
  <si>
    <t>P12_U13_250410</t>
  </si>
  <si>
    <t>P121_U13_250423</t>
  </si>
  <si>
    <t>P122_U13_250423</t>
  </si>
  <si>
    <t>P134_U15_250409</t>
  </si>
  <si>
    <t>P141_U16_250423</t>
  </si>
  <si>
    <t>P142_U16_250423</t>
  </si>
  <si>
    <t>P143_U16_250423</t>
  </si>
  <si>
    <t>P145_U16_250423</t>
  </si>
  <si>
    <t>P15_U14_250408</t>
  </si>
  <si>
    <t>P19_U14_250408</t>
  </si>
  <si>
    <t>P26_U15_250423</t>
  </si>
  <si>
    <t>P29_U15_250409</t>
  </si>
  <si>
    <t>P30_U15_250409</t>
  </si>
  <si>
    <t>P31_U15_250409</t>
  </si>
  <si>
    <t>P32_U15_250409</t>
  </si>
  <si>
    <t>P33_U15_250409</t>
  </si>
  <si>
    <t>P35_U15_250409</t>
  </si>
  <si>
    <t>P41_U16_250423</t>
  </si>
  <si>
    <t>P55_U17_250408</t>
  </si>
  <si>
    <t>P56_U17_250408</t>
  </si>
  <si>
    <t>P57_U16_250423</t>
  </si>
  <si>
    <t>P59_U17_250408</t>
  </si>
  <si>
    <t>P64_U16_250423</t>
  </si>
  <si>
    <t>P67_U15_250409</t>
  </si>
  <si>
    <t>P69_U15_250409</t>
  </si>
  <si>
    <t>P70_U14_250408</t>
  </si>
  <si>
    <t>P72_U14_250408</t>
  </si>
  <si>
    <t>P73_U14_250408</t>
  </si>
  <si>
    <t>P74_U14_250408</t>
  </si>
  <si>
    <t>P76_U17_250408</t>
  </si>
  <si>
    <t>P77_U17_250408</t>
  </si>
  <si>
    <t>P78_U17_250408</t>
  </si>
  <si>
    <t>P80_U17_250408</t>
  </si>
  <si>
    <t>P81_U17_250408</t>
  </si>
  <si>
    <t>P83_U16_250414</t>
  </si>
  <si>
    <t>P85_U17_250408</t>
  </si>
  <si>
    <t>P88_U17_250409</t>
  </si>
  <si>
    <t>P89_U17_250408</t>
  </si>
  <si>
    <t>P90_U17_250414</t>
  </si>
  <si>
    <t>P92_U13_250410</t>
  </si>
  <si>
    <t>P93_U13_250410</t>
  </si>
  <si>
    <t>IdentifierSonic</t>
  </si>
  <si>
    <t>P01U12T1</t>
  </si>
  <si>
    <t>P02U12T1</t>
  </si>
  <si>
    <t>P03U12T1</t>
  </si>
  <si>
    <t>P04U12T1</t>
  </si>
  <si>
    <t>P05U12T1</t>
  </si>
  <si>
    <t>P06U12T1</t>
  </si>
  <si>
    <t>P07U12T1</t>
  </si>
  <si>
    <t>P08U12T1</t>
  </si>
  <si>
    <t>P09U12T1</t>
  </si>
  <si>
    <t>P10U12T1</t>
  </si>
  <si>
    <t>P11U12T1</t>
  </si>
  <si>
    <t>P12U12T1</t>
  </si>
  <si>
    <t>P13U13T1</t>
  </si>
  <si>
    <t>P14U13T1</t>
  </si>
  <si>
    <t>P15U13T1</t>
  </si>
  <si>
    <t>P16U13T1</t>
  </si>
  <si>
    <t>P17U13T1</t>
  </si>
  <si>
    <t>P18U13T1</t>
  </si>
  <si>
    <t>P19U13T1</t>
  </si>
  <si>
    <t>P25U14T1</t>
  </si>
  <si>
    <t>P26U14T1</t>
  </si>
  <si>
    <t>P27U14T1</t>
  </si>
  <si>
    <t>P28U14T1</t>
  </si>
  <si>
    <t>P29U14T1</t>
  </si>
  <si>
    <t>P30U14T1</t>
  </si>
  <si>
    <t>P31U14T1</t>
  </si>
  <si>
    <t>P32U14T1</t>
  </si>
  <si>
    <t>P33U14T1</t>
  </si>
  <si>
    <t>P34U14T1</t>
  </si>
  <si>
    <t>P35U14T1</t>
  </si>
  <si>
    <t>P36U14T1</t>
  </si>
  <si>
    <t>P37U15T1</t>
  </si>
  <si>
    <t>P39U15T1</t>
  </si>
  <si>
    <t>P41U15T1</t>
  </si>
  <si>
    <t>P42U15T1</t>
  </si>
  <si>
    <t>P43U15T1</t>
  </si>
  <si>
    <t>P45U15T1</t>
  </si>
  <si>
    <t>P47U15T1</t>
  </si>
  <si>
    <t>P48U15T1</t>
  </si>
  <si>
    <t>P49U15T1</t>
  </si>
  <si>
    <t>P50U15T1</t>
  </si>
  <si>
    <t>P51U15T1</t>
  </si>
  <si>
    <t>P52U15T1</t>
  </si>
  <si>
    <t>P53U15T1</t>
  </si>
  <si>
    <t>P54U16T1</t>
  </si>
  <si>
    <t>P55U16T1</t>
  </si>
  <si>
    <t>P56U16T1</t>
  </si>
  <si>
    <t>P57U16T1</t>
  </si>
  <si>
    <t>P58U16T1</t>
  </si>
  <si>
    <t>P59U16T1</t>
  </si>
  <si>
    <t>P60U16T1</t>
  </si>
  <si>
    <t>P01U12T2</t>
  </si>
  <si>
    <t>P02U12T2</t>
  </si>
  <si>
    <t>P03U12T2</t>
  </si>
  <si>
    <t>P04U12T2</t>
  </si>
  <si>
    <t>P05U12T2</t>
  </si>
  <si>
    <t>P06U12T2</t>
  </si>
  <si>
    <t>P07U12T2</t>
  </si>
  <si>
    <t>P08U12T2</t>
  </si>
  <si>
    <t>P09U12T2</t>
  </si>
  <si>
    <t>P10U12T2</t>
  </si>
  <si>
    <t>P11U12T2</t>
  </si>
  <si>
    <t>P12U12T2</t>
  </si>
  <si>
    <t>P13U13T2</t>
  </si>
  <si>
    <t>P15U13T2</t>
  </si>
  <si>
    <t>P16U13T2</t>
  </si>
  <si>
    <t>P17U13T2</t>
  </si>
  <si>
    <t>P18U13T2</t>
  </si>
  <si>
    <t>P19U13T2</t>
  </si>
  <si>
    <t>P26U14T2</t>
  </si>
  <si>
    <t>P27U14T2</t>
  </si>
  <si>
    <t>P28U14T2</t>
  </si>
  <si>
    <t>P29U14T2</t>
  </si>
  <si>
    <t>P30U14T2</t>
  </si>
  <si>
    <t>P31U14T2</t>
  </si>
  <si>
    <t>P33U14T2</t>
  </si>
  <si>
    <t>P34U14T2</t>
  </si>
  <si>
    <t>P35U14T2</t>
  </si>
  <si>
    <t>P36U14T2</t>
  </si>
  <si>
    <t>P37U15T2</t>
  </si>
  <si>
    <t>P39U15T2</t>
  </si>
  <si>
    <t>P41U15T2</t>
  </si>
  <si>
    <t>P42U15T2</t>
  </si>
  <si>
    <t>P43U15T2</t>
  </si>
  <si>
    <t>P45U15T2</t>
  </si>
  <si>
    <t>P47U15T2</t>
  </si>
  <si>
    <t>P48U15T2</t>
  </si>
  <si>
    <t>P49U15T2</t>
  </si>
  <si>
    <t>P50U15T2</t>
  </si>
  <si>
    <t>P51U15T2</t>
  </si>
  <si>
    <t>P52U15T2</t>
  </si>
  <si>
    <t>P53U15T2</t>
  </si>
  <si>
    <t>P54U16T2</t>
  </si>
  <si>
    <t>P55U16T2</t>
  </si>
  <si>
    <t>P56U16T2</t>
  </si>
  <si>
    <t>P57U16T2</t>
  </si>
  <si>
    <t>P59U16T2</t>
  </si>
  <si>
    <t>P64U15T2</t>
  </si>
  <si>
    <t>P65U15T2</t>
  </si>
  <si>
    <t>P66U14T2</t>
  </si>
  <si>
    <t>P67U14T2</t>
  </si>
  <si>
    <t>P68U14T2</t>
  </si>
  <si>
    <t>P69U14T2</t>
  </si>
  <si>
    <t>P70U13T2</t>
  </si>
  <si>
    <t>P72U13T2</t>
  </si>
  <si>
    <t>P73U13T2</t>
  </si>
  <si>
    <t>P74U13T2</t>
  </si>
  <si>
    <t>P75U15T2</t>
  </si>
  <si>
    <t>P76U16T2</t>
  </si>
  <si>
    <t>P77U16T2</t>
  </si>
  <si>
    <t>P80U16T2</t>
  </si>
  <si>
    <t>P81U16T2</t>
  </si>
  <si>
    <t>P82U13T2</t>
  </si>
  <si>
    <t>P01U12T3</t>
  </si>
  <si>
    <t>P02U12T3</t>
  </si>
  <si>
    <t>P03U12T3</t>
  </si>
  <si>
    <t>P04U12T3</t>
  </si>
  <si>
    <t>P05U12T3</t>
  </si>
  <si>
    <t>P06U12T3</t>
  </si>
  <si>
    <t>P08U12T3</t>
  </si>
  <si>
    <t>P09U12T3</t>
  </si>
  <si>
    <t>P10U12T3</t>
  </si>
  <si>
    <t>P11U12T3</t>
  </si>
  <si>
    <t>P12U12T3</t>
  </si>
  <si>
    <t>P13U13T3</t>
  </si>
  <si>
    <t>P15U13T3</t>
  </si>
  <si>
    <t>P16U13T3</t>
  </si>
  <si>
    <t>P18U13T3</t>
  </si>
  <si>
    <t>P19U13T3</t>
  </si>
  <si>
    <t>P27U14T3</t>
  </si>
  <si>
    <t>P29U14T3</t>
  </si>
  <si>
    <t>P30U14T3</t>
  </si>
  <si>
    <t>P32U14T3</t>
  </si>
  <si>
    <t>P33U14T3</t>
  </si>
  <si>
    <t>P35U14T3</t>
  </si>
  <si>
    <t>P37U15T3</t>
  </si>
  <si>
    <t>P42U15T3</t>
  </si>
  <si>
    <t>P43U15T3</t>
  </si>
  <si>
    <t>P45U15T3</t>
  </si>
  <si>
    <t>P47U15T3</t>
  </si>
  <si>
    <t>P48U15T3</t>
  </si>
  <si>
    <t>P50U15T3</t>
  </si>
  <si>
    <t>P51U15T3</t>
  </si>
  <si>
    <t>P52U15T3</t>
  </si>
  <si>
    <t>P54U16T3</t>
  </si>
  <si>
    <t>P56U16T3</t>
  </si>
  <si>
    <t>P57U16T3</t>
  </si>
  <si>
    <t>P59U16T3</t>
  </si>
  <si>
    <t>P60U16T3</t>
  </si>
  <si>
    <t>P65U15T3</t>
  </si>
  <si>
    <t>P67U14T3</t>
  </si>
  <si>
    <t>P69U14T3</t>
  </si>
  <si>
    <t>P70U13T3</t>
  </si>
  <si>
    <t>P72U13T3</t>
  </si>
  <si>
    <t>P73U13T3</t>
  </si>
  <si>
    <t>P74U13T3</t>
  </si>
  <si>
    <t>P77U16T3</t>
  </si>
  <si>
    <t>P78U16T3</t>
  </si>
  <si>
    <t>P79U16T3</t>
  </si>
  <si>
    <t>P81U16T3</t>
  </si>
  <si>
    <t>P83U15T3</t>
  </si>
  <si>
    <t>P84U16T3</t>
  </si>
  <si>
    <t>P88U16T3</t>
  </si>
  <si>
    <t>P89U16T3</t>
  </si>
  <si>
    <t>P90U16T3</t>
  </si>
  <si>
    <t>P92U12T3</t>
  </si>
  <si>
    <t>P93U12T3</t>
  </si>
  <si>
    <t>P94U15T3</t>
  </si>
  <si>
    <t>P95U15T3</t>
  </si>
  <si>
    <t>P01U13T4</t>
  </si>
  <si>
    <t>P02U13T4</t>
  </si>
  <si>
    <t>P03U12T4</t>
  </si>
  <si>
    <t>P06U13T4</t>
  </si>
  <si>
    <t>P08U13T4</t>
  </si>
  <si>
    <t>P09U13T4</t>
  </si>
  <si>
    <t>P10U13T4</t>
  </si>
  <si>
    <t>P11U13T4</t>
  </si>
  <si>
    <t>P12U13T4</t>
  </si>
  <si>
    <t>P120U13T4</t>
  </si>
  <si>
    <t>P121U13T4</t>
  </si>
  <si>
    <t>P122U13T4</t>
  </si>
  <si>
    <t>P134U15T4</t>
  </si>
  <si>
    <t>P138U15T4</t>
  </si>
  <si>
    <t>P139U16T4</t>
  </si>
  <si>
    <t>P140U16T4</t>
  </si>
  <si>
    <t>P141U16T4</t>
  </si>
  <si>
    <t>P142U16T4</t>
  </si>
  <si>
    <t>P143U16T4</t>
  </si>
  <si>
    <t>P15U14T4</t>
  </si>
  <si>
    <t>P16U14T4</t>
  </si>
  <si>
    <t>P162U15T4</t>
  </si>
  <si>
    <t>P18U14T4</t>
  </si>
  <si>
    <t>P26U15T4</t>
  </si>
  <si>
    <t>P29U15T4</t>
  </si>
  <si>
    <t>P30U15T4</t>
  </si>
  <si>
    <t>P31U15T4</t>
  </si>
  <si>
    <t>P32U15T4</t>
  </si>
  <si>
    <t>P33U15T4</t>
  </si>
  <si>
    <t>P35U15T4</t>
  </si>
  <si>
    <t>P41U16T4</t>
  </si>
  <si>
    <t>P42U16T4</t>
  </si>
  <si>
    <t>P43U16T4</t>
  </si>
  <si>
    <t>P45U16T4</t>
  </si>
  <si>
    <t>P47U16T4</t>
  </si>
  <si>
    <t>P50U16T4</t>
  </si>
  <si>
    <t>P51U16T4</t>
  </si>
  <si>
    <t>P52U16T4</t>
  </si>
  <si>
    <t>P53U16T4</t>
  </si>
  <si>
    <t>P54U17T4</t>
  </si>
  <si>
    <t>P55U17T4</t>
  </si>
  <si>
    <t>P57U17T4</t>
  </si>
  <si>
    <t>P59U17T4</t>
  </si>
  <si>
    <t>P60U17T4</t>
  </si>
  <si>
    <t>P65U16T4</t>
  </si>
  <si>
    <t>P67U15T4</t>
  </si>
  <si>
    <t>P69U15T4</t>
  </si>
  <si>
    <t>P70U14T4</t>
  </si>
  <si>
    <t>P73U14T4</t>
  </si>
  <si>
    <t>P74U14T4</t>
  </si>
  <si>
    <t>P77U17T4</t>
  </si>
  <si>
    <t>P78U17T4</t>
  </si>
  <si>
    <t>P80U17T4</t>
  </si>
  <si>
    <t>P82U14T4</t>
  </si>
  <si>
    <t>P83U16T4</t>
  </si>
  <si>
    <t>P89U17T4</t>
  </si>
  <si>
    <t>P90U17T4</t>
  </si>
  <si>
    <t>P92U13T4</t>
  </si>
  <si>
    <t>P93U13T4</t>
  </si>
  <si>
    <t>P94U16T4</t>
  </si>
  <si>
    <t>P95U16T4</t>
  </si>
  <si>
    <t>P01U13T5</t>
  </si>
  <si>
    <t>P02U13T5</t>
  </si>
  <si>
    <t>P03U13T5</t>
  </si>
  <si>
    <t>P04U13T5</t>
  </si>
  <si>
    <t>P05U13T5</t>
  </si>
  <si>
    <t>P06U13T5</t>
  </si>
  <si>
    <t>P08U13T5</t>
  </si>
  <si>
    <t>P09U13T5</t>
  </si>
  <si>
    <t>P11U13T5</t>
  </si>
  <si>
    <t>P12U13T5</t>
  </si>
  <si>
    <t>P134U15T5</t>
  </si>
  <si>
    <t>P141U16T5</t>
  </si>
  <si>
    <t>P142U16T5</t>
  </si>
  <si>
    <t>P143U16T5</t>
  </si>
  <si>
    <t>P15U14T5</t>
  </si>
  <si>
    <t>P19U14T5</t>
  </si>
  <si>
    <t>P26U15T5</t>
  </si>
  <si>
    <t>P30U15T5</t>
  </si>
  <si>
    <t>P32U15T5</t>
  </si>
  <si>
    <t>P33U15T5</t>
  </si>
  <si>
    <t>P35U15T5</t>
  </si>
  <si>
    <t>P41U16T5</t>
  </si>
  <si>
    <t>P43U16T5</t>
  </si>
  <si>
    <t>P45U16T5</t>
  </si>
  <si>
    <t>P50U16T5</t>
  </si>
  <si>
    <t>P51U16T5</t>
  </si>
  <si>
    <t>P52U16T5</t>
  </si>
  <si>
    <t>P53U16T5</t>
  </si>
  <si>
    <t>P55U17T5</t>
  </si>
  <si>
    <t>P56U17T5</t>
  </si>
  <si>
    <t>P57U17T5</t>
  </si>
  <si>
    <t>P59U17T5</t>
  </si>
  <si>
    <t>P60U17T5</t>
  </si>
  <si>
    <t>P64U16T5</t>
  </si>
  <si>
    <t>P69U15T5</t>
  </si>
  <si>
    <t>P72U14T5</t>
  </si>
  <si>
    <t>P73U14T5</t>
  </si>
  <si>
    <t>P74U14T5</t>
  </si>
  <si>
    <t>P76U17T5</t>
  </si>
  <si>
    <t>P77U17T5</t>
  </si>
  <si>
    <t>P78U17T5</t>
  </si>
  <si>
    <t>P80U17T5</t>
  </si>
  <si>
    <t>P82U14T5</t>
  </si>
  <si>
    <t>P83U16T5</t>
  </si>
  <si>
    <t>P85U17T5</t>
  </si>
  <si>
    <t>P88U17T5</t>
  </si>
  <si>
    <t>P89U17T5</t>
  </si>
  <si>
    <t>P90U17T5</t>
  </si>
  <si>
    <t>P92U13T5</t>
  </si>
  <si>
    <t>P95U16T5</t>
  </si>
  <si>
    <t>P01U13T6</t>
  </si>
  <si>
    <t>P02U13T6</t>
  </si>
  <si>
    <t>P03U13T6</t>
  </si>
  <si>
    <t>P05U13T6</t>
  </si>
  <si>
    <t>P06U13T6</t>
  </si>
  <si>
    <t>P08U13T6</t>
  </si>
  <si>
    <t>P09U13T6</t>
  </si>
  <si>
    <t>P10U13T6</t>
  </si>
  <si>
    <t>P11U13T6</t>
  </si>
  <si>
    <t>P12U13T6</t>
  </si>
  <si>
    <t>P121U13T6</t>
  </si>
  <si>
    <t>P122U13T6</t>
  </si>
  <si>
    <t>P134U15T6</t>
  </si>
  <si>
    <t>P141U16T6</t>
  </si>
  <si>
    <t>P142U16T6</t>
  </si>
  <si>
    <t>P143U16T6</t>
  </si>
  <si>
    <t>P145U16T6</t>
  </si>
  <si>
    <t>P15U14T6</t>
  </si>
  <si>
    <t>P19U14T6</t>
  </si>
  <si>
    <t>P26U15T6</t>
  </si>
  <si>
    <t>P29U15T6</t>
  </si>
  <si>
    <t>P30U15T6</t>
  </si>
  <si>
    <t>P31U15T6</t>
  </si>
  <si>
    <t>P32U15T6</t>
  </si>
  <si>
    <t>P33U15T6</t>
  </si>
  <si>
    <t>P35U15T6</t>
  </si>
  <si>
    <t>P41U16T6</t>
  </si>
  <si>
    <t>P55U17T6</t>
  </si>
  <si>
    <t>P56U17T6</t>
  </si>
  <si>
    <t>P57U16T6</t>
  </si>
  <si>
    <t>P59U17T6</t>
  </si>
  <si>
    <t>P64U16T6</t>
  </si>
  <si>
    <t>P67U15T6</t>
  </si>
  <si>
    <t>P69U15T6</t>
  </si>
  <si>
    <t>P70U14T6</t>
  </si>
  <si>
    <t>P72U14T6</t>
  </si>
  <si>
    <t>P73U14T6</t>
  </si>
  <si>
    <t>P74U14T6</t>
  </si>
  <si>
    <t>P76U17T6</t>
  </si>
  <si>
    <t>P77U17T6</t>
  </si>
  <si>
    <t>P78U17T6</t>
  </si>
  <si>
    <t>P80U17T6</t>
  </si>
  <si>
    <t>P81U17T6</t>
  </si>
  <si>
    <t>P83U16T6</t>
  </si>
  <si>
    <t>P85U17T6</t>
  </si>
  <si>
    <t>P88U17T6</t>
  </si>
  <si>
    <t>P89U17T6</t>
  </si>
  <si>
    <t>P90U17T6</t>
  </si>
  <si>
    <t>P92U13T6</t>
  </si>
  <si>
    <t>P93U13T6</t>
  </si>
  <si>
    <t>MeasTime</t>
  </si>
  <si>
    <t>T1</t>
  </si>
  <si>
    <t>T2</t>
  </si>
  <si>
    <t>T3</t>
  </si>
  <si>
    <t>T4</t>
  </si>
  <si>
    <t>T5</t>
  </si>
  <si>
    <t>T6</t>
  </si>
  <si>
    <t>Height</t>
  </si>
  <si>
    <t>Mass</t>
  </si>
  <si>
    <t>AnkleCircumfrence</t>
  </si>
  <si>
    <t>ShankCircumfrence</t>
  </si>
  <si>
    <t>KneeWidth</t>
  </si>
  <si>
    <t>ThighCircumfrence</t>
  </si>
  <si>
    <t>PlayingPosition</t>
  </si>
  <si>
    <t>TW</t>
  </si>
  <si>
    <t>LV</t>
  </si>
  <si>
    <t>RM</t>
  </si>
  <si>
    <t>LM</t>
  </si>
  <si>
    <t>IV</t>
  </si>
  <si>
    <t>ST</t>
  </si>
  <si>
    <t>ZOM</t>
  </si>
  <si>
    <t>ZM</t>
  </si>
  <si>
    <t>RV</t>
  </si>
  <si>
    <t>GK</t>
  </si>
  <si>
    <t>DominantLeg</t>
  </si>
  <si>
    <t>R</t>
  </si>
  <si>
    <t>L</t>
  </si>
  <si>
    <t>Skeletal_Age</t>
  </si>
  <si>
    <t>Predicted_Adult_Height_TW</t>
  </si>
  <si>
    <t>Predicted_Adult_Height_BP</t>
  </si>
  <si>
    <t>Body_Mass</t>
  </si>
  <si>
    <t>Body_Height</t>
  </si>
  <si>
    <t>Sitting_Height</t>
  </si>
  <si>
    <t>Birth_Quarter</t>
  </si>
  <si>
    <t>Q1</t>
  </si>
  <si>
    <t>Q2</t>
  </si>
  <si>
    <t>Q3</t>
  </si>
  <si>
    <t>Q4</t>
  </si>
  <si>
    <t>0</t>
  </si>
  <si>
    <t>Chronological_Age</t>
  </si>
  <si>
    <t>Diff_SAge_CAge</t>
  </si>
  <si>
    <t>Maturity_Timing</t>
  </si>
  <si>
    <t>sehr früh</t>
  </si>
  <si>
    <t>durchschnittlich</t>
  </si>
  <si>
    <t>früh</t>
  </si>
  <si>
    <t>sehr spät</t>
  </si>
  <si>
    <t>spät</t>
  </si>
  <si>
    <t>Percent_Predicted_Height</t>
  </si>
  <si>
    <t>Maturity_Status</t>
  </si>
  <si>
    <t>prä-pubertal</t>
  </si>
  <si>
    <t>Wachstumsschub</t>
  </si>
  <si>
    <t>post-pubertal 1</t>
  </si>
  <si>
    <t>post-pubertal 2</t>
  </si>
  <si>
    <t>ThighLength_L</t>
  </si>
  <si>
    <t>ThighLength_R</t>
  </si>
  <si>
    <t>ShankLength_L</t>
  </si>
  <si>
    <t>ShankLength_R</t>
  </si>
  <si>
    <t>FootLength_L</t>
  </si>
  <si>
    <t>FootLength_R</t>
  </si>
  <si>
    <t>TrunkHeight</t>
  </si>
  <si>
    <t>ThighMass</t>
  </si>
  <si>
    <t>Inertia_Hip_Flexion</t>
  </si>
  <si>
    <t>Inertia_Hip_Adduction</t>
  </si>
  <si>
    <t>Inertia_Hip_Rotation</t>
  </si>
  <si>
    <t>TibiaMass</t>
  </si>
  <si>
    <t>Player</t>
  </si>
  <si>
    <t>(m)</t>
  </si>
  <si>
    <t>(kg)</t>
  </si>
  <si>
    <t>Shank Length Left</t>
    <phoneticPr fontId="2" type="noConversion"/>
  </si>
  <si>
    <t>Shank Length Right</t>
    <phoneticPr fontId="2" type="noConversion"/>
  </si>
  <si>
    <t>Shank</t>
    <phoneticPr fontId="2" type="noConversion"/>
  </si>
  <si>
    <t>Thigh</t>
    <phoneticPr fontId="2" type="noConversion"/>
  </si>
  <si>
    <t>Thigh Length Left</t>
    <phoneticPr fontId="2" type="noConversion"/>
  </si>
  <si>
    <t>Thigh Length Right</t>
    <phoneticPr fontId="2" type="noConversion"/>
  </si>
  <si>
    <t>Dominant Side</t>
    <phoneticPr fontId="2" type="noConversion"/>
  </si>
  <si>
    <t>Injury Side</t>
    <phoneticPr fontId="2" type="noConversion"/>
  </si>
  <si>
    <t>unit</t>
    <phoneticPr fontId="2" type="noConversion"/>
  </si>
  <si>
    <t>Shank Diff (Left - Right)</t>
    <phoneticPr fontId="2" type="noConversion"/>
  </si>
  <si>
    <t>Thigh Diff (Left - Right)</t>
    <phoneticPr fontId="2" type="noConversion"/>
  </si>
  <si>
    <t>R</t>
    <phoneticPr fontId="2" type="noConversion"/>
  </si>
  <si>
    <t>Age</t>
    <phoneticPr fontId="2" type="noConversion"/>
  </si>
  <si>
    <t>(cm)</t>
  </si>
  <si>
    <t>(cm)</t>
    <phoneticPr fontId="2" type="noConversion"/>
  </si>
  <si>
    <t>L</t>
    <phoneticPr fontId="2" type="noConversion"/>
  </si>
  <si>
    <t xml:space="preserve">Leg Length Diff </t>
    <phoneticPr fontId="2" type="noConversion"/>
  </si>
  <si>
    <t>Dominant Side = Injury side</t>
    <phoneticPr fontId="2" type="noConversion"/>
  </si>
  <si>
    <t>Y</t>
    <phoneticPr fontId="2" type="noConversion"/>
  </si>
  <si>
    <t>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</si>
</sst>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Font="1"/>
    <xf numFmtId="0" fontId="3" fillId="0" borderId="0" xfId="0" applyFon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1"/>
  <sheetViews>
    <sheetView zoomScale="118" workbookViewId="0">
      <pane xSplit="1" topLeftCell="Y1" activePane="topRight" state="frozen"/>
      <selection pane="topRight" activeCell="A157" sqref="A157:XFD157"/>
    </sheetView>
  </sheetViews>
  <sheetFormatPr baseColWidth="10" defaultColWidth="8.83203125" defaultRowHeight="15"/>
  <cols>
    <col min="1" max="1" width="5" customWidth="1"/>
    <col min="2" max="2" width="5.5" customWidth="1"/>
    <col min="3" max="3" width="7" customWidth="1"/>
    <col min="4" max="4" width="16.33203125" customWidth="1"/>
    <col min="5" max="5" width="12.83203125" customWidth="1"/>
    <col min="6" max="6" width="9.5" customWidth="1"/>
    <col min="7" max="7" width="6.5" customWidth="1"/>
    <col min="8" max="8" width="5.5" customWidth="1"/>
    <col min="9" max="9" width="16.33203125" customWidth="1"/>
    <col min="10" max="10" width="16.6640625" customWidth="1"/>
    <col min="11" max="11" width="9.83203125" customWidth="1"/>
    <col min="12" max="12" width="16.1640625" customWidth="1"/>
    <col min="13" max="13" width="13.1640625" customWidth="1"/>
    <col min="14" max="14" width="11.83203125" customWidth="1"/>
    <col min="15" max="15" width="11.33203125" customWidth="1"/>
    <col min="16" max="16" width="23.83203125" customWidth="1"/>
    <col min="17" max="17" width="23.1640625" customWidth="1"/>
    <col min="18" max="18" width="10.33203125" customWidth="1"/>
    <col min="19" max="19" width="11.33203125" customWidth="1"/>
    <col min="20" max="21" width="12.1640625" customWidth="1"/>
    <col min="22" max="22" width="16.1640625" customWidth="1"/>
    <col min="23" max="23" width="14" customWidth="1"/>
    <col min="24" max="24" width="14.33203125" customWidth="1"/>
    <col min="25" max="25" width="22.1640625" customWidth="1"/>
    <col min="26" max="26" width="15.1640625" customWidth="1"/>
    <col min="27" max="27" width="12.6640625" customWidth="1"/>
    <col min="28" max="28" width="12.83203125" customWidth="1"/>
    <col min="29" max="29" width="13.1640625" customWidth="1"/>
    <col min="30" max="30" width="13.33203125" customWidth="1"/>
    <col min="31" max="31" width="12.1640625" customWidth="1"/>
    <col min="32" max="32" width="12.33203125" customWidth="1"/>
    <col min="33" max="34" width="11.5" customWidth="1"/>
    <col min="35" max="35" width="16.83203125" customWidth="1"/>
    <col min="36" max="36" width="19.1640625" customWidth="1"/>
    <col min="37" max="37" width="18.1640625" customWidth="1"/>
    <col min="38" max="38" width="11.5" customWidth="1"/>
  </cols>
  <sheetData>
    <row r="1" spans="1:38">
      <c r="A1" t="s">
        <v>0</v>
      </c>
      <c r="B1" t="s">
        <v>92</v>
      </c>
      <c r="C1" t="s">
        <v>99</v>
      </c>
      <c r="D1" t="s">
        <v>100</v>
      </c>
      <c r="E1" t="s">
        <v>431</v>
      </c>
      <c r="F1" t="s">
        <v>762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775</v>
      </c>
      <c r="N1" t="s">
        <v>786</v>
      </c>
      <c r="O1" t="s">
        <v>789</v>
      </c>
      <c r="P1" t="s">
        <v>790</v>
      </c>
      <c r="Q1" t="s">
        <v>791</v>
      </c>
      <c r="R1" t="s">
        <v>792</v>
      </c>
      <c r="S1" t="s">
        <v>793</v>
      </c>
      <c r="T1" t="s">
        <v>794</v>
      </c>
      <c r="U1" t="s">
        <v>795</v>
      </c>
      <c r="V1" t="s">
        <v>801</v>
      </c>
      <c r="W1" t="s">
        <v>802</v>
      </c>
      <c r="X1" t="s">
        <v>803</v>
      </c>
      <c r="Y1" t="s">
        <v>809</v>
      </c>
      <c r="Z1" t="s">
        <v>810</v>
      </c>
      <c r="AA1" t="s">
        <v>815</v>
      </c>
      <c r="AB1" t="s">
        <v>816</v>
      </c>
      <c r="AC1" t="s">
        <v>817</v>
      </c>
      <c r="AD1" t="s">
        <v>818</v>
      </c>
      <c r="AE1" t="s">
        <v>819</v>
      </c>
      <c r="AF1" t="s">
        <v>820</v>
      </c>
      <c r="AG1" t="s">
        <v>821</v>
      </c>
      <c r="AH1" t="s">
        <v>822</v>
      </c>
      <c r="AI1" t="s">
        <v>823</v>
      </c>
      <c r="AJ1" t="s">
        <v>824</v>
      </c>
      <c r="AK1" t="s">
        <v>825</v>
      </c>
      <c r="AL1" t="s">
        <v>826</v>
      </c>
    </row>
    <row r="2" spans="1:38">
      <c r="A2" t="s">
        <v>1</v>
      </c>
      <c r="B2" t="s">
        <v>93</v>
      </c>
      <c r="C2">
        <v>230816</v>
      </c>
      <c r="D2" t="s">
        <v>101</v>
      </c>
      <c r="E2" t="s">
        <v>432</v>
      </c>
      <c r="F2" t="s">
        <v>763</v>
      </c>
      <c r="G2">
        <v>1.62</v>
      </c>
      <c r="H2">
        <v>41.5</v>
      </c>
      <c r="I2">
        <v>21</v>
      </c>
      <c r="J2">
        <v>30</v>
      </c>
      <c r="K2">
        <v>9.9</v>
      </c>
      <c r="L2">
        <v>39</v>
      </c>
      <c r="M2" t="s">
        <v>776</v>
      </c>
      <c r="N2" t="s">
        <v>787</v>
      </c>
      <c r="O2">
        <v>13.76</v>
      </c>
      <c r="P2">
        <v>189.6</v>
      </c>
      <c r="Q2">
        <v>183.1</v>
      </c>
      <c r="R2">
        <v>43.2</v>
      </c>
      <c r="S2">
        <v>163.19999999999999</v>
      </c>
      <c r="T2">
        <v>128.4</v>
      </c>
      <c r="U2" t="s">
        <v>796</v>
      </c>
      <c r="V2">
        <v>11.686111111111112</v>
      </c>
      <c r="W2">
        <v>2.073888888888888</v>
      </c>
      <c r="X2" t="s">
        <v>804</v>
      </c>
      <c r="Y2">
        <v>86.075949367088597</v>
      </c>
      <c r="Z2" t="s">
        <v>811</v>
      </c>
      <c r="AA2">
        <v>35.436304600167134</v>
      </c>
      <c r="AB2">
        <v>36.046809796655189</v>
      </c>
      <c r="AC2">
        <v>40.473229300872276</v>
      </c>
      <c r="AD2">
        <v>39.663973731149078</v>
      </c>
      <c r="AE2">
        <v>26.337367111502054</v>
      </c>
      <c r="AF2">
        <v>26.688214876639996</v>
      </c>
      <c r="AG2">
        <v>41.048961719276477</v>
      </c>
      <c r="AH2">
        <v>5.1237519412771944</v>
      </c>
      <c r="AI2">
        <v>0.21567683213233835</v>
      </c>
      <c r="AJ2">
        <v>0.21567683213233835</v>
      </c>
      <c r="AK2">
        <v>2.0835413384252533E-2</v>
      </c>
      <c r="AL2">
        <v>2.0423065691492894</v>
      </c>
    </row>
    <row r="3" spans="1:38">
      <c r="A3" t="s">
        <v>2</v>
      </c>
      <c r="B3" t="s">
        <v>93</v>
      </c>
      <c r="C3">
        <v>230816</v>
      </c>
      <c r="D3" t="s">
        <v>102</v>
      </c>
      <c r="E3" t="s">
        <v>433</v>
      </c>
      <c r="F3" t="s">
        <v>763</v>
      </c>
      <c r="G3">
        <v>1.4450000000000001</v>
      </c>
      <c r="H3">
        <v>32.5</v>
      </c>
      <c r="I3">
        <v>19</v>
      </c>
      <c r="J3">
        <v>26</v>
      </c>
      <c r="K3">
        <v>8.6</v>
      </c>
      <c r="L3">
        <v>36</v>
      </c>
      <c r="M3" t="s">
        <v>777</v>
      </c>
      <c r="N3" t="s">
        <v>787</v>
      </c>
      <c r="O3">
        <v>11.38</v>
      </c>
      <c r="P3">
        <v>177.1</v>
      </c>
      <c r="Q3">
        <v>177.3</v>
      </c>
      <c r="R3">
        <v>32.799999999999997</v>
      </c>
      <c r="S3">
        <v>144.9</v>
      </c>
      <c r="T3">
        <v>120.4</v>
      </c>
      <c r="U3" t="s">
        <v>797</v>
      </c>
      <c r="V3">
        <v>11.302777777777777</v>
      </c>
      <c r="W3">
        <v>7.7222222222223635E-2</v>
      </c>
      <c r="X3" t="s">
        <v>805</v>
      </c>
      <c r="Y3">
        <v>81.818181818181827</v>
      </c>
      <c r="Z3" t="s">
        <v>811</v>
      </c>
      <c r="AA3">
        <v>31.556141728907555</v>
      </c>
      <c r="AB3">
        <v>31.793636319558026</v>
      </c>
      <c r="AC3">
        <v>33.452510821537963</v>
      </c>
      <c r="AD3">
        <v>32.853687952293114</v>
      </c>
      <c r="AE3">
        <v>23.207494725403802</v>
      </c>
      <c r="AF3">
        <v>23.134720995645065</v>
      </c>
      <c r="AG3">
        <v>35.414361318322321</v>
      </c>
      <c r="AH3">
        <v>4.0125768214821402</v>
      </c>
      <c r="AI3">
        <v>0.14048579346115447</v>
      </c>
      <c r="AJ3">
        <v>0.14048579346115447</v>
      </c>
      <c r="AK3">
        <v>1.4046641887633136E-2</v>
      </c>
      <c r="AL3">
        <v>1.5993967107795639</v>
      </c>
    </row>
    <row r="4" spans="1:38">
      <c r="A4" t="s">
        <v>3</v>
      </c>
      <c r="B4" t="s">
        <v>93</v>
      </c>
      <c r="C4">
        <v>230816</v>
      </c>
      <c r="D4" t="s">
        <v>103</v>
      </c>
      <c r="E4" t="s">
        <v>434</v>
      </c>
      <c r="F4" t="s">
        <v>763</v>
      </c>
      <c r="G4">
        <v>1.44</v>
      </c>
      <c r="H4">
        <v>35</v>
      </c>
      <c r="I4">
        <v>23</v>
      </c>
      <c r="J4">
        <v>27</v>
      </c>
      <c r="K4">
        <v>8.3000000000000007</v>
      </c>
      <c r="L4">
        <v>38</v>
      </c>
      <c r="M4" t="s">
        <v>778</v>
      </c>
      <c r="N4" t="s">
        <v>787</v>
      </c>
      <c r="O4">
        <v>11.55</v>
      </c>
      <c r="P4">
        <v>180.1</v>
      </c>
      <c r="Q4">
        <v>184.5</v>
      </c>
      <c r="R4">
        <v>35.1</v>
      </c>
      <c r="S4">
        <v>144.69999999999999</v>
      </c>
      <c r="T4">
        <v>122.3</v>
      </c>
      <c r="U4" t="s">
        <v>796</v>
      </c>
      <c r="V4">
        <v>10.494444444444444</v>
      </c>
      <c r="W4">
        <v>1.0555555555555571</v>
      </c>
      <c r="X4" t="s">
        <v>806</v>
      </c>
      <c r="Y4">
        <v>80.344253192670735</v>
      </c>
      <c r="Z4" t="s">
        <v>811</v>
      </c>
      <c r="AA4">
        <v>33.961231798105743</v>
      </c>
      <c r="AB4">
        <v>33.170572469962046</v>
      </c>
      <c r="AC4">
        <v>33.672743616927349</v>
      </c>
      <c r="AD4">
        <v>33.075103160226845</v>
      </c>
      <c r="AE4">
        <v>22.351648431301847</v>
      </c>
      <c r="AF4">
        <v>22.778113171769483</v>
      </c>
      <c r="AG4">
        <v>35.510653370735511</v>
      </c>
      <c r="AH4">
        <v>4.3212365769807661</v>
      </c>
      <c r="AI4">
        <v>0.14777189326914797</v>
      </c>
      <c r="AJ4">
        <v>0.14777189326914797</v>
      </c>
      <c r="AK4">
        <v>1.3464620296064989E-2</v>
      </c>
      <c r="AL4">
        <v>1.7224272269933767</v>
      </c>
    </row>
    <row r="5" spans="1:38">
      <c r="A5" t="s">
        <v>4</v>
      </c>
      <c r="B5" t="s">
        <v>93</v>
      </c>
      <c r="C5">
        <v>230816</v>
      </c>
      <c r="D5" t="s">
        <v>104</v>
      </c>
      <c r="E5" t="s">
        <v>435</v>
      </c>
      <c r="F5" t="s">
        <v>763</v>
      </c>
      <c r="G5">
        <v>1.48</v>
      </c>
      <c r="H5">
        <v>34.4</v>
      </c>
      <c r="I5">
        <v>23.4</v>
      </c>
      <c r="J5">
        <v>22</v>
      </c>
      <c r="K5">
        <v>9.3000000000000007</v>
      </c>
      <c r="L5">
        <v>37.4</v>
      </c>
      <c r="M5" t="s">
        <v>776</v>
      </c>
      <c r="N5" t="s">
        <v>787</v>
      </c>
      <c r="O5">
        <v>12.05</v>
      </c>
      <c r="P5">
        <v>178.6</v>
      </c>
      <c r="Q5">
        <v>178.7</v>
      </c>
      <c r="R5">
        <v>34.200000000000003</v>
      </c>
      <c r="S5">
        <v>148.6</v>
      </c>
      <c r="T5">
        <v>122.4</v>
      </c>
      <c r="U5" t="s">
        <v>796</v>
      </c>
      <c r="V5">
        <v>11.638888888888889</v>
      </c>
      <c r="W5">
        <v>0.41111111111111143</v>
      </c>
      <c r="X5" t="s">
        <v>805</v>
      </c>
      <c r="Y5">
        <v>83.202687569988797</v>
      </c>
      <c r="Z5" t="s">
        <v>811</v>
      </c>
      <c r="AA5">
        <v>33.07837808928798</v>
      </c>
      <c r="AB5">
        <v>32.821998064938086</v>
      </c>
      <c r="AC5">
        <v>33.967991648244023</v>
      </c>
      <c r="AD5">
        <v>34.249863178960041</v>
      </c>
      <c r="AE5">
        <v>24.077974746141059</v>
      </c>
      <c r="AF5">
        <v>24.126705315973009</v>
      </c>
      <c r="AG5">
        <v>33.79679811088188</v>
      </c>
      <c r="AH5">
        <v>4.2471582356610966</v>
      </c>
      <c r="AI5">
        <v>0.15703228621666801</v>
      </c>
      <c r="AJ5">
        <v>0.15703228621666801</v>
      </c>
      <c r="AK5">
        <v>1.4496453401623692E-2</v>
      </c>
      <c r="AL5">
        <v>1.6928999031020617</v>
      </c>
    </row>
    <row r="6" spans="1:38">
      <c r="A6" t="s">
        <v>5</v>
      </c>
      <c r="B6" t="s">
        <v>93</v>
      </c>
      <c r="C6">
        <v>230821</v>
      </c>
      <c r="D6" t="s">
        <v>105</v>
      </c>
      <c r="E6" t="s">
        <v>436</v>
      </c>
      <c r="F6" t="s">
        <v>763</v>
      </c>
      <c r="G6">
        <v>1.345</v>
      </c>
      <c r="H6">
        <v>30.6</v>
      </c>
      <c r="I6">
        <v>14</v>
      </c>
      <c r="J6">
        <v>23</v>
      </c>
      <c r="K6">
        <v>8.1999999999999993</v>
      </c>
      <c r="L6">
        <v>33</v>
      </c>
      <c r="M6" t="s">
        <v>779</v>
      </c>
      <c r="N6" t="s">
        <v>788</v>
      </c>
      <c r="O6">
        <v>10.42</v>
      </c>
      <c r="P6">
        <v>168.7</v>
      </c>
      <c r="Q6">
        <v>169.8</v>
      </c>
      <c r="R6">
        <v>31</v>
      </c>
      <c r="S6">
        <v>134.5</v>
      </c>
      <c r="T6">
        <v>112.6</v>
      </c>
      <c r="U6" t="s">
        <v>798</v>
      </c>
      <c r="V6">
        <v>11.074999999999999</v>
      </c>
      <c r="W6">
        <v>-0.65499999999999936</v>
      </c>
      <c r="X6" t="s">
        <v>805</v>
      </c>
      <c r="Y6">
        <v>79.727326615293421</v>
      </c>
      <c r="Z6" t="s">
        <v>811</v>
      </c>
      <c r="AA6">
        <v>31.748897236934919</v>
      </c>
      <c r="AB6">
        <v>30.263652144976465</v>
      </c>
      <c r="AC6">
        <v>30.592957043029998</v>
      </c>
      <c r="AD6">
        <v>32.956685863634775</v>
      </c>
      <c r="AE6">
        <v>21.593639158945727</v>
      </c>
      <c r="AF6">
        <v>21.842794300978674</v>
      </c>
      <c r="AG6">
        <v>30.253978405465329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 t="s">
        <v>6</v>
      </c>
      <c r="B7" t="s">
        <v>93</v>
      </c>
      <c r="C7">
        <v>230816</v>
      </c>
      <c r="D7" t="s">
        <v>106</v>
      </c>
      <c r="E7" t="s">
        <v>437</v>
      </c>
      <c r="F7" t="s">
        <v>763</v>
      </c>
      <c r="G7">
        <v>1.425</v>
      </c>
      <c r="H7">
        <v>33</v>
      </c>
      <c r="I7">
        <v>15</v>
      </c>
      <c r="J7">
        <v>22</v>
      </c>
      <c r="K7">
        <v>8.5</v>
      </c>
      <c r="L7">
        <v>37.5</v>
      </c>
      <c r="M7" t="s">
        <v>780</v>
      </c>
      <c r="N7" t="s">
        <v>787</v>
      </c>
      <c r="O7">
        <v>11.51</v>
      </c>
      <c r="P7">
        <v>175.7</v>
      </c>
      <c r="Q7">
        <v>174.8</v>
      </c>
      <c r="R7">
        <v>34</v>
      </c>
      <c r="S7">
        <v>143.19999999999999</v>
      </c>
      <c r="T7">
        <v>119.8</v>
      </c>
      <c r="U7" t="s">
        <v>798</v>
      </c>
      <c r="V7">
        <v>11.016666666666667</v>
      </c>
      <c r="W7">
        <v>0.49333333333333229</v>
      </c>
      <c r="X7" t="s">
        <v>805</v>
      </c>
      <c r="Y7">
        <v>81.502561183836093</v>
      </c>
      <c r="Z7" t="s">
        <v>811</v>
      </c>
      <c r="AA7">
        <v>32.418964605575653</v>
      </c>
      <c r="AB7">
        <v>31.489772447100723</v>
      </c>
      <c r="AC7">
        <v>33.892987405084313</v>
      </c>
      <c r="AD7">
        <v>32.842583574331421</v>
      </c>
      <c r="AE7">
        <v>22.901847940256985</v>
      </c>
      <c r="AF7">
        <v>22.860359752498841</v>
      </c>
      <c r="AG7">
        <v>35.488474296428798</v>
      </c>
      <c r="AH7">
        <v>4.0743087725818654</v>
      </c>
      <c r="AI7">
        <v>0.1375355895702956</v>
      </c>
      <c r="AJ7">
        <v>0.1375355895702956</v>
      </c>
      <c r="AK7">
        <v>1.2388000704325164E-2</v>
      </c>
      <c r="AL7">
        <v>1.6240028140223266</v>
      </c>
    </row>
    <row r="8" spans="1:38">
      <c r="A8" t="s">
        <v>7</v>
      </c>
      <c r="B8" t="s">
        <v>93</v>
      </c>
      <c r="C8">
        <v>230822</v>
      </c>
      <c r="D8" t="s">
        <v>107</v>
      </c>
      <c r="E8" t="s">
        <v>438</v>
      </c>
      <c r="F8" t="s">
        <v>763</v>
      </c>
      <c r="G8">
        <v>1.5</v>
      </c>
      <c r="H8">
        <v>45.3</v>
      </c>
      <c r="I8">
        <v>22</v>
      </c>
      <c r="J8">
        <v>33.799999999999997</v>
      </c>
      <c r="K8">
        <v>10.4</v>
      </c>
      <c r="L8">
        <v>46.4</v>
      </c>
      <c r="M8" t="s">
        <v>780</v>
      </c>
      <c r="N8" t="s">
        <v>787</v>
      </c>
      <c r="O8">
        <v>12.42</v>
      </c>
      <c r="P8">
        <v>179.6</v>
      </c>
      <c r="Q8">
        <v>177</v>
      </c>
      <c r="R8">
        <v>44.8</v>
      </c>
      <c r="S8">
        <v>150.5</v>
      </c>
      <c r="T8">
        <v>125.4</v>
      </c>
      <c r="U8" t="s">
        <v>796</v>
      </c>
      <c r="V8">
        <v>11.727777777777778</v>
      </c>
      <c r="W8">
        <v>0.69222222222222207</v>
      </c>
      <c r="X8" t="s">
        <v>805</v>
      </c>
      <c r="Y8">
        <v>83.797327394209347</v>
      </c>
      <c r="Z8" t="s">
        <v>811</v>
      </c>
      <c r="AA8">
        <v>33.37487277269976</v>
      </c>
      <c r="AB8">
        <v>31.46998330347343</v>
      </c>
      <c r="AC8">
        <v>34.724913317112801</v>
      </c>
      <c r="AD8">
        <v>36.38643419411126</v>
      </c>
      <c r="AE8">
        <v>24.748268102482967</v>
      </c>
      <c r="AF8">
        <v>24.631974148623524</v>
      </c>
      <c r="AG8">
        <v>38.868778798909474</v>
      </c>
      <c r="AH8">
        <v>5.5929147696351063</v>
      </c>
      <c r="AI8">
        <v>0.19249530757519345</v>
      </c>
      <c r="AJ8">
        <v>0.19249530757519345</v>
      </c>
      <c r="AK8">
        <v>2.1353443442070297E-2</v>
      </c>
      <c r="AL8">
        <v>2.2293129537942846</v>
      </c>
    </row>
    <row r="9" spans="1:38">
      <c r="A9" t="s">
        <v>8</v>
      </c>
      <c r="B9" t="s">
        <v>93</v>
      </c>
      <c r="C9">
        <v>230822</v>
      </c>
      <c r="D9" t="s">
        <v>108</v>
      </c>
      <c r="E9" t="s">
        <v>439</v>
      </c>
      <c r="F9" t="s">
        <v>763</v>
      </c>
      <c r="G9">
        <v>1.39</v>
      </c>
      <c r="H9">
        <v>34.200000000000003</v>
      </c>
      <c r="I9">
        <v>21.6</v>
      </c>
      <c r="J9">
        <v>25</v>
      </c>
      <c r="K9">
        <v>9.1999999999999993</v>
      </c>
      <c r="L9">
        <v>41</v>
      </c>
      <c r="M9" t="s">
        <v>779</v>
      </c>
      <c r="N9" t="s">
        <v>788</v>
      </c>
      <c r="O9">
        <v>10.15</v>
      </c>
      <c r="P9">
        <v>174.1</v>
      </c>
      <c r="Q9">
        <v>175.7</v>
      </c>
      <c r="R9">
        <v>34.700000000000003</v>
      </c>
      <c r="S9">
        <v>139.19999999999999</v>
      </c>
      <c r="T9">
        <v>119.5</v>
      </c>
      <c r="U9" t="s">
        <v>799</v>
      </c>
      <c r="V9">
        <v>10.822222222222223</v>
      </c>
      <c r="W9">
        <v>-0.6722222222222225</v>
      </c>
      <c r="X9" t="s">
        <v>805</v>
      </c>
      <c r="Y9">
        <v>79.954049396898327</v>
      </c>
      <c r="Z9" t="s">
        <v>811</v>
      </c>
      <c r="AA9">
        <v>30.745169975591494</v>
      </c>
      <c r="AB9">
        <v>29.703979510315207</v>
      </c>
      <c r="AC9">
        <v>31.192415935821941</v>
      </c>
      <c r="AD9">
        <v>30.150570332968563</v>
      </c>
      <c r="AE9">
        <v>22.11229802225736</v>
      </c>
      <c r="AF9">
        <v>22.664223750162027</v>
      </c>
      <c r="AG9">
        <v>34.633917782674125</v>
      </c>
      <c r="AH9">
        <v>4.2224654552212062</v>
      </c>
      <c r="AI9">
        <v>0.12472903291587849</v>
      </c>
      <c r="AJ9">
        <v>0.12472903291587849</v>
      </c>
      <c r="AK9">
        <v>1.3934838086995775E-2</v>
      </c>
      <c r="AL9">
        <v>1.6830574618049567</v>
      </c>
    </row>
    <row r="10" spans="1:38">
      <c r="A10" t="s">
        <v>9</v>
      </c>
      <c r="B10" t="s">
        <v>93</v>
      </c>
      <c r="C10">
        <v>230823</v>
      </c>
      <c r="D10" t="s">
        <v>109</v>
      </c>
      <c r="E10" t="s">
        <v>440</v>
      </c>
      <c r="F10" t="s">
        <v>763</v>
      </c>
      <c r="G10">
        <v>1.458</v>
      </c>
      <c r="H10">
        <v>41.2</v>
      </c>
      <c r="I10">
        <v>22.2</v>
      </c>
      <c r="J10">
        <v>30</v>
      </c>
      <c r="K10">
        <v>10.5</v>
      </c>
      <c r="L10">
        <v>42.3</v>
      </c>
      <c r="M10" t="s">
        <v>779</v>
      </c>
      <c r="N10" t="s">
        <v>788</v>
      </c>
      <c r="O10">
        <v>12.14</v>
      </c>
      <c r="P10">
        <v>180.6</v>
      </c>
      <c r="Q10">
        <v>179.1</v>
      </c>
      <c r="R10">
        <v>40.200000000000003</v>
      </c>
      <c r="S10">
        <v>150.80000000000001</v>
      </c>
      <c r="T10">
        <v>123.1</v>
      </c>
      <c r="U10" t="s">
        <v>796</v>
      </c>
      <c r="V10">
        <v>11.625</v>
      </c>
      <c r="W10">
        <v>0.51500000000000057</v>
      </c>
      <c r="X10" t="s">
        <v>805</v>
      </c>
      <c r="Y10">
        <v>83.499446290143979</v>
      </c>
      <c r="Z10" t="s">
        <v>811</v>
      </c>
      <c r="AA10">
        <v>33.523781388515474</v>
      </c>
      <c r="AB10">
        <v>33.542008540716182</v>
      </c>
      <c r="AC10">
        <v>38.132260521166145</v>
      </c>
      <c r="AD10">
        <v>37.115676027601673</v>
      </c>
      <c r="AE10">
        <v>26.140182086347988</v>
      </c>
      <c r="AF10">
        <v>26.401564719236127</v>
      </c>
      <c r="AG10">
        <v>37.10104978565122</v>
      </c>
      <c r="AH10">
        <v>5.0867127706173605</v>
      </c>
      <c r="AI10">
        <v>0.19292137167112863</v>
      </c>
      <c r="AJ10">
        <v>0.19292137167112863</v>
      </c>
      <c r="AK10">
        <v>1.6802570161303543E-2</v>
      </c>
      <c r="AL10">
        <v>2.0275429072036322</v>
      </c>
    </row>
    <row r="11" spans="1:38">
      <c r="A11" t="s">
        <v>10</v>
      </c>
      <c r="B11" t="s">
        <v>93</v>
      </c>
      <c r="C11">
        <v>230823</v>
      </c>
      <c r="D11" t="s">
        <v>110</v>
      </c>
      <c r="E11" t="s">
        <v>441</v>
      </c>
      <c r="F11" t="s">
        <v>763</v>
      </c>
      <c r="G11">
        <v>1.5269999999999999</v>
      </c>
      <c r="H11">
        <v>37.799999999999997</v>
      </c>
      <c r="I11">
        <v>21.3</v>
      </c>
      <c r="J11">
        <v>27.6</v>
      </c>
      <c r="K11">
        <v>9.8000000000000007</v>
      </c>
      <c r="L11">
        <v>40.299999999999997</v>
      </c>
      <c r="M11" t="s">
        <v>780</v>
      </c>
      <c r="N11" t="s">
        <v>787</v>
      </c>
      <c r="O11">
        <v>12.45</v>
      </c>
      <c r="P11">
        <v>181.7</v>
      </c>
      <c r="Q11">
        <v>182.4</v>
      </c>
      <c r="R11">
        <v>37.6</v>
      </c>
      <c r="S11">
        <v>151.19999999999999</v>
      </c>
      <c r="T11">
        <v>123.5</v>
      </c>
      <c r="U11" t="s">
        <v>797</v>
      </c>
      <c r="V11">
        <v>11.344444444444445</v>
      </c>
      <c r="W11">
        <v>1.1055555555555543</v>
      </c>
      <c r="X11" t="s">
        <v>806</v>
      </c>
      <c r="Y11">
        <v>83.214089157952671</v>
      </c>
      <c r="Z11" t="s">
        <v>811</v>
      </c>
      <c r="AA11">
        <v>33.391336544187894</v>
      </c>
      <c r="AB11">
        <v>33.864699695035775</v>
      </c>
      <c r="AC11">
        <v>35.488525400137476</v>
      </c>
      <c r="AD11">
        <v>35.623484385034317</v>
      </c>
      <c r="AE11">
        <v>25.43560671573362</v>
      </c>
      <c r="AF11">
        <v>25.968724521312417</v>
      </c>
      <c r="AG11">
        <v>38.157375018404835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 t="s">
        <v>11</v>
      </c>
      <c r="B12" t="s">
        <v>93</v>
      </c>
      <c r="C12">
        <v>230823</v>
      </c>
      <c r="D12" t="s">
        <v>111</v>
      </c>
      <c r="E12" t="s">
        <v>442</v>
      </c>
      <c r="F12" t="s">
        <v>763</v>
      </c>
      <c r="G12">
        <v>1.55</v>
      </c>
      <c r="H12">
        <v>43.3</v>
      </c>
      <c r="I12">
        <v>23.6</v>
      </c>
      <c r="J12">
        <v>29.6</v>
      </c>
      <c r="K12">
        <v>9.6</v>
      </c>
      <c r="L12">
        <v>45</v>
      </c>
      <c r="M12" t="s">
        <v>781</v>
      </c>
      <c r="N12" t="s">
        <v>787</v>
      </c>
      <c r="O12">
        <v>13.12</v>
      </c>
      <c r="P12">
        <v>182.4</v>
      </c>
      <c r="Q12">
        <v>179.6</v>
      </c>
      <c r="R12">
        <v>44.1</v>
      </c>
      <c r="S12">
        <v>154.6</v>
      </c>
      <c r="T12">
        <v>121.7</v>
      </c>
      <c r="U12" t="s">
        <v>796</v>
      </c>
      <c r="V12">
        <v>11.680555555555555</v>
      </c>
      <c r="W12">
        <v>1.4394444444444439</v>
      </c>
      <c r="X12" t="s">
        <v>806</v>
      </c>
      <c r="Y12">
        <v>84.758771929824547</v>
      </c>
      <c r="Z12" t="s">
        <v>811</v>
      </c>
      <c r="AA12">
        <v>35.381695439303506</v>
      </c>
      <c r="AB12">
        <v>35.665472688328336</v>
      </c>
      <c r="AC12">
        <v>37.922050326098237</v>
      </c>
      <c r="AD12">
        <v>38.004923599997518</v>
      </c>
      <c r="AE12">
        <v>24.766607780789258</v>
      </c>
      <c r="AF12">
        <v>24.537015764464279</v>
      </c>
      <c r="AG12">
        <v>36.671911323859</v>
      </c>
      <c r="AH12">
        <v>5.3459869652362055</v>
      </c>
      <c r="AI12">
        <v>0.22973451348317853</v>
      </c>
      <c r="AJ12">
        <v>0.22973451348317853</v>
      </c>
      <c r="AK12">
        <v>2.2029081669982777E-2</v>
      </c>
      <c r="AL12">
        <v>2.1308885408232348</v>
      </c>
    </row>
    <row r="13" spans="1:38">
      <c r="A13" t="s">
        <v>12</v>
      </c>
      <c r="B13" t="s">
        <v>93</v>
      </c>
      <c r="C13">
        <v>230823</v>
      </c>
      <c r="D13" t="s">
        <v>112</v>
      </c>
      <c r="E13" t="s">
        <v>443</v>
      </c>
      <c r="F13" t="s">
        <v>763</v>
      </c>
      <c r="G13">
        <v>1.49</v>
      </c>
      <c r="H13">
        <v>34.299999999999997</v>
      </c>
      <c r="I13">
        <v>19.600000000000001</v>
      </c>
      <c r="J13">
        <v>27.1</v>
      </c>
      <c r="K13">
        <v>9.1</v>
      </c>
      <c r="L13">
        <v>37.799999999999997</v>
      </c>
      <c r="M13" t="s">
        <v>782</v>
      </c>
      <c r="N13" t="s">
        <v>788</v>
      </c>
      <c r="O13">
        <v>11.84</v>
      </c>
      <c r="P13">
        <v>181.5</v>
      </c>
      <c r="Q13">
        <v>180.2</v>
      </c>
      <c r="R13">
        <v>34.5</v>
      </c>
      <c r="S13">
        <v>149.30000000000001</v>
      </c>
      <c r="T13">
        <v>123</v>
      </c>
      <c r="U13" t="s">
        <v>798</v>
      </c>
      <c r="V13">
        <v>11.105555555555556</v>
      </c>
      <c r="W13">
        <v>0.73444444444444379</v>
      </c>
      <c r="X13" t="s">
        <v>805</v>
      </c>
      <c r="Y13">
        <v>82.258953168044087</v>
      </c>
      <c r="Z13" t="s">
        <v>811</v>
      </c>
      <c r="AA13">
        <v>33.93607533477644</v>
      </c>
      <c r="AB13">
        <v>33.363726124903074</v>
      </c>
      <c r="AC13">
        <v>72.267351802269687</v>
      </c>
      <c r="AD13">
        <v>35.716397172227609</v>
      </c>
      <c r="AE13">
        <v>24.727550920085005</v>
      </c>
      <c r="AF13">
        <v>24.08884463155028</v>
      </c>
      <c r="AG13">
        <v>38.035008171880442</v>
      </c>
      <c r="AH13">
        <v>4.2348118454411505</v>
      </c>
      <c r="AI13">
        <v>0.15726265546242041</v>
      </c>
      <c r="AJ13">
        <v>0.15726265546242041</v>
      </c>
      <c r="AK13">
        <v>1.4652993297935183E-2</v>
      </c>
      <c r="AL13">
        <v>1.687978682453509</v>
      </c>
    </row>
    <row r="14" spans="1:38">
      <c r="A14" t="s">
        <v>13</v>
      </c>
      <c r="B14" t="s">
        <v>94</v>
      </c>
      <c r="C14">
        <v>230824</v>
      </c>
      <c r="D14" t="s">
        <v>113</v>
      </c>
      <c r="E14" t="s">
        <v>444</v>
      </c>
      <c r="F14" t="s">
        <v>763</v>
      </c>
      <c r="G14">
        <v>1.3049999999999999</v>
      </c>
      <c r="H14">
        <v>30.3</v>
      </c>
      <c r="I14">
        <v>20.100000000000001</v>
      </c>
      <c r="J14">
        <v>25.2</v>
      </c>
      <c r="K14">
        <v>8.5</v>
      </c>
      <c r="L14">
        <v>36</v>
      </c>
      <c r="M14" t="s">
        <v>783</v>
      </c>
      <c r="N14" t="s">
        <v>788</v>
      </c>
      <c r="O14">
        <v>10.37</v>
      </c>
      <c r="P14">
        <v>169.7</v>
      </c>
      <c r="Q14">
        <v>169.7</v>
      </c>
      <c r="R14">
        <v>30.8</v>
      </c>
      <c r="S14">
        <v>138.69999999999999</v>
      </c>
      <c r="T14">
        <v>0</v>
      </c>
      <c r="U14" t="s">
        <v>797</v>
      </c>
      <c r="V14">
        <v>12.452777777777778</v>
      </c>
      <c r="W14">
        <v>-2.0827777777777783</v>
      </c>
      <c r="X14" t="s">
        <v>807</v>
      </c>
      <c r="Y14">
        <v>81.732469063052449</v>
      </c>
      <c r="Z14" t="s">
        <v>811</v>
      </c>
      <c r="AA14">
        <v>31.497608369632303</v>
      </c>
      <c r="AB14">
        <v>31.016944473700754</v>
      </c>
      <c r="AC14">
        <v>33.4674524376493</v>
      </c>
      <c r="AD14">
        <v>34.338391699132451</v>
      </c>
      <c r="AE14">
        <v>22.366030579260119</v>
      </c>
      <c r="AF14">
        <v>22.373777356159998</v>
      </c>
      <c r="AG14">
        <v>31.407771248918984</v>
      </c>
      <c r="AH14">
        <v>3.7409562366433495</v>
      </c>
      <c r="AI14">
        <v>0.12663852915436058</v>
      </c>
      <c r="AJ14">
        <v>0.12663852915436058</v>
      </c>
      <c r="AK14">
        <v>1.0443885276524885E-2</v>
      </c>
      <c r="AL14">
        <v>1.4911298565114088</v>
      </c>
    </row>
    <row r="15" spans="1:38">
      <c r="A15" t="s">
        <v>14</v>
      </c>
      <c r="B15" t="s">
        <v>94</v>
      </c>
      <c r="C15">
        <v>230824</v>
      </c>
      <c r="D15" t="s">
        <v>114</v>
      </c>
      <c r="E15" t="s">
        <v>445</v>
      </c>
      <c r="F15" t="s">
        <v>763</v>
      </c>
      <c r="G15">
        <v>1.4850000000000001</v>
      </c>
      <c r="H15">
        <v>34.4</v>
      </c>
      <c r="I15">
        <v>19.3</v>
      </c>
      <c r="J15">
        <v>30</v>
      </c>
      <c r="K15">
        <v>9.4</v>
      </c>
      <c r="L15">
        <v>39.700000000000003</v>
      </c>
      <c r="M15" t="s">
        <v>776</v>
      </c>
      <c r="N15" t="s">
        <v>787</v>
      </c>
      <c r="O15">
        <v>11.55</v>
      </c>
      <c r="P15">
        <v>174.7</v>
      </c>
      <c r="Q15">
        <v>178.5</v>
      </c>
      <c r="R15">
        <v>34.6</v>
      </c>
      <c r="S15">
        <v>145.9</v>
      </c>
      <c r="T15">
        <v>0</v>
      </c>
      <c r="U15" t="s">
        <v>798</v>
      </c>
      <c r="V15">
        <v>12.125</v>
      </c>
      <c r="W15">
        <v>-0.57499999999999929</v>
      </c>
      <c r="X15" t="s">
        <v>805</v>
      </c>
      <c r="Y15">
        <v>83.514596451058964</v>
      </c>
      <c r="Z15" t="s">
        <v>811</v>
      </c>
      <c r="AA15">
        <v>32.471120508668704</v>
      </c>
      <c r="AB15">
        <v>32.464596811124991</v>
      </c>
      <c r="AC15">
        <v>35.429520729066319</v>
      </c>
      <c r="AD15">
        <v>36.231003546143654</v>
      </c>
      <c r="AE15">
        <v>22.41983102005441</v>
      </c>
      <c r="AF15">
        <v>22.505879798126593</v>
      </c>
      <c r="AG15">
        <v>35.152094904576266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 t="s">
        <v>15</v>
      </c>
      <c r="B16" t="s">
        <v>94</v>
      </c>
      <c r="C16">
        <v>230824</v>
      </c>
      <c r="D16" t="s">
        <v>115</v>
      </c>
      <c r="E16" t="s">
        <v>446</v>
      </c>
      <c r="F16" t="s">
        <v>763</v>
      </c>
      <c r="G16">
        <v>1.508</v>
      </c>
      <c r="H16">
        <v>42.8</v>
      </c>
      <c r="I16">
        <v>22.7</v>
      </c>
      <c r="J16">
        <v>30.4</v>
      </c>
      <c r="K16">
        <v>9.9</v>
      </c>
      <c r="L16">
        <v>40.4</v>
      </c>
      <c r="M16" t="s">
        <v>783</v>
      </c>
      <c r="N16" t="s">
        <v>787</v>
      </c>
      <c r="O16">
        <v>12.29</v>
      </c>
      <c r="P16">
        <v>177</v>
      </c>
      <c r="Q16">
        <v>177.9</v>
      </c>
      <c r="R16">
        <v>42.8</v>
      </c>
      <c r="S16">
        <v>149.80000000000001</v>
      </c>
      <c r="T16">
        <v>0</v>
      </c>
      <c r="U16" t="s">
        <v>798</v>
      </c>
      <c r="V16">
        <v>12.072222222222223</v>
      </c>
      <c r="W16">
        <v>0.21777777777777629</v>
      </c>
      <c r="X16" t="s">
        <v>805</v>
      </c>
      <c r="Y16">
        <v>84.632768361581924</v>
      </c>
      <c r="Z16" t="s">
        <v>811</v>
      </c>
      <c r="AA16">
        <v>32.493850264009872</v>
      </c>
      <c r="AB16">
        <v>30.98669750852584</v>
      </c>
      <c r="AC16">
        <v>37.404886412631321</v>
      </c>
      <c r="AD16">
        <v>36.381241501309532</v>
      </c>
      <c r="AE16">
        <v>24.206930996079855</v>
      </c>
      <c r="AF16">
        <v>24.524009107676825</v>
      </c>
      <c r="AG16">
        <v>35.472691419162395</v>
      </c>
      <c r="AH16">
        <v>5.2842550141364804</v>
      </c>
      <c r="AI16">
        <v>0.19043205073535552</v>
      </c>
      <c r="AJ16">
        <v>0.19043205073535552</v>
      </c>
      <c r="AK16">
        <v>1.8495443723074146E-2</v>
      </c>
      <c r="AL16">
        <v>2.1062824375804721</v>
      </c>
    </row>
    <row r="17" spans="1:38">
      <c r="A17" t="s">
        <v>16</v>
      </c>
      <c r="B17" t="s">
        <v>94</v>
      </c>
      <c r="C17">
        <v>230824</v>
      </c>
      <c r="D17" t="s">
        <v>116</v>
      </c>
      <c r="E17" t="s">
        <v>447</v>
      </c>
      <c r="F17" t="s">
        <v>763</v>
      </c>
      <c r="G17">
        <v>1.655</v>
      </c>
      <c r="H17">
        <v>52</v>
      </c>
      <c r="I17">
        <v>21</v>
      </c>
      <c r="J17">
        <v>33.700000000000003</v>
      </c>
      <c r="K17">
        <v>9.6</v>
      </c>
      <c r="L17">
        <v>48</v>
      </c>
      <c r="M17" t="s">
        <v>781</v>
      </c>
      <c r="N17" t="s">
        <v>787</v>
      </c>
      <c r="O17">
        <v>14.94</v>
      </c>
      <c r="P17">
        <v>184.3</v>
      </c>
      <c r="Q17">
        <v>172.2</v>
      </c>
      <c r="R17">
        <v>53.9</v>
      </c>
      <c r="S17">
        <v>164.6</v>
      </c>
      <c r="T17">
        <v>133.69999999999999</v>
      </c>
      <c r="U17" t="s">
        <v>797</v>
      </c>
      <c r="V17">
        <v>12.458333333333334</v>
      </c>
      <c r="W17">
        <v>2.4816666666666656</v>
      </c>
      <c r="X17" t="s">
        <v>804</v>
      </c>
      <c r="Y17">
        <v>89.310906131307647</v>
      </c>
      <c r="Z17" t="s">
        <v>812</v>
      </c>
      <c r="AA17">
        <v>35.439680229987104</v>
      </c>
      <c r="AB17">
        <v>36.442449876871528</v>
      </c>
      <c r="AC17">
        <v>40.421237593723788</v>
      </c>
      <c r="AD17">
        <v>39.975632784331168</v>
      </c>
      <c r="AE17">
        <v>24.756223232379991</v>
      </c>
      <c r="AF17">
        <v>25.276169696535341</v>
      </c>
      <c r="AG17">
        <v>41.448945716149659</v>
      </c>
      <c r="AH17">
        <v>6.4201229143714249</v>
      </c>
      <c r="AI17">
        <v>0.27010167498529603</v>
      </c>
      <c r="AJ17">
        <v>0.27010167498529603</v>
      </c>
      <c r="AK17">
        <v>2.4426793809586515E-2</v>
      </c>
      <c r="AL17">
        <v>2.5590347372473023</v>
      </c>
    </row>
    <row r="18" spans="1:38">
      <c r="A18" t="s">
        <v>17</v>
      </c>
      <c r="B18" t="s">
        <v>94</v>
      </c>
      <c r="C18">
        <v>230824</v>
      </c>
      <c r="D18" t="s">
        <v>117</v>
      </c>
      <c r="E18" t="s">
        <v>448</v>
      </c>
      <c r="F18" t="s">
        <v>763</v>
      </c>
      <c r="G18">
        <v>1.59</v>
      </c>
      <c r="H18">
        <v>44.1</v>
      </c>
      <c r="I18">
        <v>20.7</v>
      </c>
      <c r="J18">
        <v>30</v>
      </c>
      <c r="K18">
        <v>9.8000000000000007</v>
      </c>
      <c r="L18">
        <v>42.1</v>
      </c>
      <c r="M18" t="s">
        <v>780</v>
      </c>
      <c r="N18" t="s">
        <v>788</v>
      </c>
      <c r="O18">
        <v>13.99</v>
      </c>
      <c r="P18">
        <v>180.1</v>
      </c>
      <c r="Q18">
        <v>176.8</v>
      </c>
      <c r="R18">
        <v>45.5</v>
      </c>
      <c r="S18">
        <v>159.80000000000001</v>
      </c>
      <c r="T18">
        <v>0</v>
      </c>
      <c r="U18" t="s">
        <v>796</v>
      </c>
      <c r="V18">
        <v>12.502777777777778</v>
      </c>
      <c r="W18">
        <v>1.487222222222222</v>
      </c>
      <c r="X18" t="s">
        <v>806</v>
      </c>
      <c r="Y18">
        <v>88.728484175458092</v>
      </c>
      <c r="Z18" t="s">
        <v>811</v>
      </c>
      <c r="AA18">
        <v>37.083911870911585</v>
      </c>
      <c r="AB18">
        <v>36.326894711538529</v>
      </c>
      <c r="AC18">
        <v>36.741562439918845</v>
      </c>
      <c r="AD18">
        <v>36.73131418861302</v>
      </c>
      <c r="AE18">
        <v>24.904334527006135</v>
      </c>
      <c r="AF18">
        <v>25.028188193637543</v>
      </c>
      <c r="AG18">
        <v>39.527573005561202</v>
      </c>
      <c r="AH18">
        <v>5.4447580869957664</v>
      </c>
      <c r="AI18">
        <v>0.23819915270179792</v>
      </c>
      <c r="AJ18">
        <v>0.23819915270179792</v>
      </c>
      <c r="AK18">
        <v>1.928206947434229E-2</v>
      </c>
      <c r="AL18">
        <v>2.1702583060116547</v>
      </c>
    </row>
    <row r="19" spans="1:38">
      <c r="A19" t="s">
        <v>18</v>
      </c>
      <c r="B19" t="s">
        <v>94</v>
      </c>
      <c r="C19">
        <v>230824</v>
      </c>
      <c r="D19" t="s">
        <v>118</v>
      </c>
      <c r="E19" t="s">
        <v>449</v>
      </c>
      <c r="F19" t="s">
        <v>763</v>
      </c>
      <c r="G19">
        <v>1.49</v>
      </c>
      <c r="H19">
        <v>37</v>
      </c>
      <c r="I19">
        <v>20.5</v>
      </c>
      <c r="J19">
        <v>29.5</v>
      </c>
      <c r="K19">
        <v>8.9</v>
      </c>
      <c r="L19">
        <v>42.3</v>
      </c>
      <c r="M19" t="s">
        <v>784</v>
      </c>
      <c r="N19" t="s">
        <v>787</v>
      </c>
      <c r="O19">
        <v>12.02</v>
      </c>
      <c r="P19">
        <v>173.3</v>
      </c>
      <c r="Q19">
        <v>176.3</v>
      </c>
      <c r="R19">
        <v>37.299999999999997</v>
      </c>
      <c r="S19">
        <v>146.9</v>
      </c>
      <c r="T19">
        <v>0</v>
      </c>
      <c r="U19" t="s">
        <v>796</v>
      </c>
      <c r="V19">
        <v>12.513888888888889</v>
      </c>
      <c r="W19">
        <v>-0.49388888888888971</v>
      </c>
      <c r="X19" t="s">
        <v>805</v>
      </c>
      <c r="Y19">
        <v>84.766301211771491</v>
      </c>
      <c r="Z19" t="s">
        <v>811</v>
      </c>
      <c r="AA19">
        <v>0</v>
      </c>
      <c r="AB19">
        <v>0</v>
      </c>
      <c r="AC19">
        <v>35.52927254355712</v>
      </c>
      <c r="AD19">
        <v>33.715752928909538</v>
      </c>
      <c r="AE19">
        <v>22.263886793566055</v>
      </c>
      <c r="AF19">
        <v>22.346179313509616</v>
      </c>
      <c r="AG19">
        <v>35.961464438885756</v>
      </c>
      <c r="AH19">
        <v>4.5681643813796677</v>
      </c>
      <c r="AI19">
        <v>0.16412884616271067</v>
      </c>
      <c r="AJ19">
        <v>0.16412884616271067</v>
      </c>
      <c r="AK19">
        <v>2.0414380392798685E-2</v>
      </c>
      <c r="AL19">
        <v>1.8208516399644268</v>
      </c>
    </row>
    <row r="20" spans="1:38">
      <c r="A20" t="s">
        <v>19</v>
      </c>
      <c r="B20" t="s">
        <v>94</v>
      </c>
      <c r="C20">
        <v>230824</v>
      </c>
      <c r="D20" t="s">
        <v>119</v>
      </c>
      <c r="E20" t="s">
        <v>450</v>
      </c>
      <c r="F20" t="s">
        <v>763</v>
      </c>
      <c r="G20">
        <v>1.615</v>
      </c>
      <c r="H20">
        <v>51</v>
      </c>
      <c r="I20">
        <v>24.3</v>
      </c>
      <c r="J20">
        <v>31.8</v>
      </c>
      <c r="K20">
        <v>10.4</v>
      </c>
      <c r="L20">
        <v>49.5</v>
      </c>
      <c r="M20" t="s">
        <v>780</v>
      </c>
      <c r="N20" t="s">
        <v>787</v>
      </c>
      <c r="O20">
        <v>13.97</v>
      </c>
      <c r="P20">
        <v>181.9</v>
      </c>
      <c r="Q20">
        <v>179</v>
      </c>
      <c r="R20">
        <v>51.3</v>
      </c>
      <c r="S20">
        <v>162</v>
      </c>
      <c r="T20">
        <v>126.5</v>
      </c>
      <c r="U20" t="s">
        <v>796</v>
      </c>
      <c r="V20">
        <v>12.652777777777779</v>
      </c>
      <c r="W20">
        <v>1.3172222222222221</v>
      </c>
      <c r="X20" t="s">
        <v>806</v>
      </c>
      <c r="Y20">
        <v>89.059923034634409</v>
      </c>
      <c r="Z20" t="s">
        <v>812</v>
      </c>
      <c r="AA20">
        <v>42.605712001482203</v>
      </c>
      <c r="AB20">
        <v>38.418553633643342</v>
      </c>
      <c r="AC20">
        <v>38.529774576176102</v>
      </c>
      <c r="AD20">
        <v>41.309259030754063</v>
      </c>
      <c r="AE20">
        <v>25.593627109471949</v>
      </c>
      <c r="AF20">
        <v>25.899367896734283</v>
      </c>
      <c r="AG20">
        <v>36.36355176474909</v>
      </c>
      <c r="AH20">
        <v>6.2966590121719745</v>
      </c>
      <c r="AI20">
        <v>0.30112076316672209</v>
      </c>
      <c r="AJ20">
        <v>0.30112076316672209</v>
      </c>
      <c r="AK20">
        <v>2.4324533541195278E-2</v>
      </c>
      <c r="AL20">
        <v>2.5098225307617774</v>
      </c>
    </row>
    <row r="21" spans="1:38">
      <c r="A21" t="s">
        <v>20</v>
      </c>
      <c r="B21" t="s">
        <v>95</v>
      </c>
      <c r="C21">
        <v>230825</v>
      </c>
      <c r="D21" t="s">
        <v>120</v>
      </c>
      <c r="E21" t="s">
        <v>451</v>
      </c>
      <c r="F21" t="s">
        <v>763</v>
      </c>
      <c r="G21">
        <v>1.5549999999999999</v>
      </c>
      <c r="H21">
        <v>42.6</v>
      </c>
      <c r="I21">
        <v>21.3</v>
      </c>
      <c r="J21">
        <v>30.7</v>
      </c>
      <c r="K21">
        <v>10</v>
      </c>
      <c r="L21">
        <v>42.4</v>
      </c>
      <c r="M21" t="s">
        <v>784</v>
      </c>
      <c r="N21" t="s">
        <v>787</v>
      </c>
      <c r="O21">
        <v>13.18</v>
      </c>
      <c r="P21">
        <v>177.5</v>
      </c>
      <c r="Q21">
        <v>175.3</v>
      </c>
      <c r="R21">
        <v>43.2</v>
      </c>
      <c r="S21">
        <v>156.30000000000001</v>
      </c>
      <c r="T21">
        <v>124.6</v>
      </c>
      <c r="U21" t="s">
        <v>796</v>
      </c>
      <c r="V21">
        <v>13.71111111111111</v>
      </c>
      <c r="W21">
        <v>-0.53111111111111065</v>
      </c>
      <c r="X21" t="s">
        <v>805</v>
      </c>
      <c r="Y21">
        <v>88.056338028169023</v>
      </c>
      <c r="Z21" t="s">
        <v>811</v>
      </c>
      <c r="AA21">
        <v>37.586826603942249</v>
      </c>
      <c r="AB21">
        <v>36.396244545710339</v>
      </c>
      <c r="AC21">
        <v>37.550007768236966</v>
      </c>
      <c r="AD21">
        <v>37.027360715209511</v>
      </c>
      <c r="AE21">
        <v>24.925865258107983</v>
      </c>
      <c r="AF21">
        <v>24.529135475044654</v>
      </c>
      <c r="AG21">
        <v>37.764540811665555</v>
      </c>
      <c r="AH21">
        <v>5.2595622336965908</v>
      </c>
      <c r="AI21">
        <v>0.21162265342217335</v>
      </c>
      <c r="AJ21">
        <v>0.21162265342217335</v>
      </c>
      <c r="AK21">
        <v>2.0548231965634003E-2</v>
      </c>
      <c r="AL21">
        <v>2.0964399962833671</v>
      </c>
    </row>
    <row r="22" spans="1:38">
      <c r="A22" t="s">
        <v>21</v>
      </c>
      <c r="B22" t="s">
        <v>95</v>
      </c>
      <c r="C22">
        <v>230825</v>
      </c>
      <c r="D22" t="s">
        <v>121</v>
      </c>
      <c r="E22" t="s">
        <v>452</v>
      </c>
      <c r="F22" t="s">
        <v>763</v>
      </c>
      <c r="G22">
        <v>1.67</v>
      </c>
      <c r="H22">
        <v>49.1</v>
      </c>
      <c r="I22">
        <v>24.6</v>
      </c>
      <c r="J22">
        <v>33.4</v>
      </c>
      <c r="K22">
        <v>9.6999999999999993</v>
      </c>
      <c r="L22">
        <v>47</v>
      </c>
      <c r="M22" t="s">
        <v>778</v>
      </c>
      <c r="N22" t="s">
        <v>787</v>
      </c>
      <c r="O22">
        <v>14.5</v>
      </c>
      <c r="P22">
        <v>183.9</v>
      </c>
      <c r="Q22">
        <v>180.6</v>
      </c>
      <c r="R22">
        <v>49.8</v>
      </c>
      <c r="S22">
        <v>167.6</v>
      </c>
      <c r="T22">
        <v>131.19999999999999</v>
      </c>
      <c r="U22" t="s">
        <v>797</v>
      </c>
      <c r="V22">
        <v>13.425000000000001</v>
      </c>
      <c r="W22">
        <v>1.0749999999999993</v>
      </c>
      <c r="X22" t="s">
        <v>806</v>
      </c>
      <c r="Y22">
        <v>91.136487221315932</v>
      </c>
      <c r="Z22" t="s">
        <v>812</v>
      </c>
      <c r="AA22">
        <v>38.073566145433389</v>
      </c>
      <c r="AB22">
        <v>37.621178728971543</v>
      </c>
      <c r="AC22">
        <v>40.52995625550664</v>
      </c>
      <c r="AD22">
        <v>40.624982635516204</v>
      </c>
      <c r="AE22">
        <v>25.540636224740759</v>
      </c>
      <c r="AF22">
        <v>31.146604382335465</v>
      </c>
      <c r="AG22">
        <v>40.495032027831755</v>
      </c>
      <c r="AH22">
        <v>6.062077597993019</v>
      </c>
      <c r="AI22">
        <v>0.2898311243254923</v>
      </c>
      <c r="AJ22">
        <v>0.2898311243254923</v>
      </c>
      <c r="AK22">
        <v>2.6525710676246622E-2</v>
      </c>
      <c r="AL22">
        <v>2.4163193384392798</v>
      </c>
    </row>
    <row r="23" spans="1:38">
      <c r="A23" t="s">
        <v>22</v>
      </c>
      <c r="B23" t="s">
        <v>95</v>
      </c>
      <c r="C23">
        <v>230825</v>
      </c>
      <c r="D23" t="s">
        <v>122</v>
      </c>
      <c r="E23" t="s">
        <v>453</v>
      </c>
      <c r="F23" t="s">
        <v>763</v>
      </c>
      <c r="G23">
        <v>1.64</v>
      </c>
      <c r="H23">
        <v>50.1</v>
      </c>
      <c r="I23">
        <v>22</v>
      </c>
      <c r="J23">
        <v>31.3</v>
      </c>
      <c r="K23">
        <v>10.5</v>
      </c>
      <c r="L23">
        <v>47.7</v>
      </c>
      <c r="M23" t="s">
        <v>780</v>
      </c>
      <c r="N23" t="s">
        <v>787</v>
      </c>
      <c r="O23">
        <v>14.49</v>
      </c>
      <c r="P23">
        <v>180.9</v>
      </c>
      <c r="Q23">
        <v>174.1</v>
      </c>
      <c r="R23">
        <v>50.8</v>
      </c>
      <c r="S23">
        <v>164.6</v>
      </c>
      <c r="T23">
        <v>127.9</v>
      </c>
      <c r="U23" t="s">
        <v>796</v>
      </c>
      <c r="V23">
        <v>13.65</v>
      </c>
      <c r="W23">
        <v>0.83999999999999986</v>
      </c>
      <c r="X23" t="s">
        <v>805</v>
      </c>
      <c r="Y23">
        <v>90.989496959646203</v>
      </c>
      <c r="Z23" t="s">
        <v>812</v>
      </c>
      <c r="AA23">
        <v>36.909229227570862</v>
      </c>
      <c r="AB23">
        <v>41.218217681129495</v>
      </c>
      <c r="AC23">
        <v>42.840248400181892</v>
      </c>
      <c r="AD23">
        <v>39.516182331426123</v>
      </c>
      <c r="AE23">
        <v>26.973369907653961</v>
      </c>
      <c r="AF23">
        <v>25.873297691606126</v>
      </c>
      <c r="AG23">
        <v>39.294542790373121</v>
      </c>
      <c r="AH23">
        <v>6.2966590121719745</v>
      </c>
      <c r="AI23">
        <v>0.31652057616846585</v>
      </c>
      <c r="AJ23">
        <v>0.31652057616846585</v>
      </c>
      <c r="AK23">
        <v>2.5962007883532118E-2</v>
      </c>
      <c r="AL23">
        <v>2.5098225307617774</v>
      </c>
    </row>
    <row r="24" spans="1:38">
      <c r="A24" t="s">
        <v>23</v>
      </c>
      <c r="B24" t="s">
        <v>95</v>
      </c>
      <c r="C24">
        <v>230825</v>
      </c>
      <c r="D24" t="s">
        <v>123</v>
      </c>
      <c r="E24" t="s">
        <v>454</v>
      </c>
      <c r="F24" t="s">
        <v>763</v>
      </c>
      <c r="G24">
        <v>1.42</v>
      </c>
      <c r="H24">
        <v>35.1</v>
      </c>
      <c r="I24">
        <v>18</v>
      </c>
      <c r="J24">
        <v>28</v>
      </c>
      <c r="K24">
        <v>8.8000000000000007</v>
      </c>
      <c r="L24">
        <v>39.6</v>
      </c>
      <c r="M24" t="s">
        <v>783</v>
      </c>
      <c r="N24" t="s">
        <v>787</v>
      </c>
      <c r="O24">
        <v>11.41</v>
      </c>
      <c r="P24">
        <v>169.5</v>
      </c>
      <c r="Q24">
        <v>170.7</v>
      </c>
      <c r="R24">
        <v>36.700000000000003</v>
      </c>
      <c r="S24">
        <v>142.1</v>
      </c>
      <c r="T24">
        <v>115.6</v>
      </c>
      <c r="U24" t="s">
        <v>799</v>
      </c>
      <c r="V24">
        <v>12.841666666666667</v>
      </c>
      <c r="W24">
        <v>-1.4316666666666666</v>
      </c>
      <c r="X24" t="s">
        <v>808</v>
      </c>
      <c r="Y24">
        <v>83.834808259587007</v>
      </c>
      <c r="Z24" t="s">
        <v>811</v>
      </c>
      <c r="AA24">
        <v>36.053251143560566</v>
      </c>
      <c r="AB24">
        <v>36.039629902368922</v>
      </c>
      <c r="AC24">
        <v>35.636886494185333</v>
      </c>
      <c r="AD24">
        <v>35.066184240375577</v>
      </c>
      <c r="AE24">
        <v>22.942461094591717</v>
      </c>
      <c r="AF24">
        <v>22.276079146005024</v>
      </c>
      <c r="AG24">
        <v>31.034228020322814</v>
      </c>
      <c r="AH24">
        <v>4.3335829672007122</v>
      </c>
      <c r="AI24">
        <v>0.16260605688710106</v>
      </c>
      <c r="AJ24">
        <v>0.16260605688710106</v>
      </c>
      <c r="AK24">
        <v>1.2776922063006183E-2</v>
      </c>
      <c r="AL24">
        <v>1.7273484476419294</v>
      </c>
    </row>
    <row r="25" spans="1:38">
      <c r="A25" t="s">
        <v>24</v>
      </c>
      <c r="B25" t="s">
        <v>95</v>
      </c>
      <c r="C25">
        <v>230825</v>
      </c>
      <c r="D25" t="s">
        <v>124</v>
      </c>
      <c r="E25" t="s">
        <v>455</v>
      </c>
      <c r="F25" t="s">
        <v>763</v>
      </c>
      <c r="G25">
        <v>1.655</v>
      </c>
      <c r="H25">
        <v>54.1</v>
      </c>
      <c r="I25">
        <v>23.8</v>
      </c>
      <c r="J25">
        <v>35.6</v>
      </c>
      <c r="K25">
        <v>10.5</v>
      </c>
      <c r="L25">
        <v>52.4</v>
      </c>
      <c r="M25" t="s">
        <v>783</v>
      </c>
      <c r="N25" t="s">
        <v>787</v>
      </c>
      <c r="O25">
        <v>14.91</v>
      </c>
      <c r="P25">
        <v>180.2</v>
      </c>
      <c r="Q25">
        <v>173.3</v>
      </c>
      <c r="R25">
        <v>57.1</v>
      </c>
      <c r="S25">
        <v>166.2</v>
      </c>
      <c r="T25">
        <v>133.5</v>
      </c>
      <c r="U25" t="s">
        <v>797</v>
      </c>
      <c r="V25">
        <v>13.483333333333333</v>
      </c>
      <c r="W25">
        <v>1.4266666666666676</v>
      </c>
      <c r="X25" t="s">
        <v>806</v>
      </c>
      <c r="Y25">
        <v>92.230854605993343</v>
      </c>
      <c r="Z25" t="s">
        <v>812</v>
      </c>
      <c r="AA25">
        <v>37.848761114066228</v>
      </c>
      <c r="AB25">
        <v>37.630191604429378</v>
      </c>
      <c r="AC25">
        <v>38.203609547356471</v>
      </c>
      <c r="AD25">
        <v>38.953401196437717</v>
      </c>
      <c r="AE25">
        <v>25.684871128086581</v>
      </c>
      <c r="AF25">
        <v>25.481258631398365</v>
      </c>
      <c r="AG25">
        <v>40.737595769086781</v>
      </c>
      <c r="AH25">
        <v>6.6793971089902717</v>
      </c>
      <c r="AI25">
        <v>0.31262055351208173</v>
      </c>
      <c r="AJ25">
        <v>0.31262055351208173</v>
      </c>
      <c r="AK25">
        <v>3.0151063659766351E-2</v>
      </c>
      <c r="AL25">
        <v>2.6623803708669054</v>
      </c>
    </row>
    <row r="26" spans="1:38">
      <c r="A26" t="s">
        <v>25</v>
      </c>
      <c r="B26" t="s">
        <v>95</v>
      </c>
      <c r="C26">
        <v>230825</v>
      </c>
      <c r="D26" t="s">
        <v>125</v>
      </c>
      <c r="E26" t="s">
        <v>456</v>
      </c>
      <c r="F26" t="s">
        <v>763</v>
      </c>
      <c r="G26">
        <v>1.655</v>
      </c>
      <c r="H26">
        <v>53.3</v>
      </c>
      <c r="I26">
        <v>21.8</v>
      </c>
      <c r="J26">
        <v>34</v>
      </c>
      <c r="K26">
        <v>9.5</v>
      </c>
      <c r="L26">
        <v>48</v>
      </c>
      <c r="M26" t="s">
        <v>778</v>
      </c>
      <c r="N26" t="s">
        <v>787</v>
      </c>
      <c r="O26">
        <v>14.88</v>
      </c>
      <c r="P26">
        <v>180</v>
      </c>
      <c r="Q26">
        <v>173.3</v>
      </c>
      <c r="R26">
        <v>54.8</v>
      </c>
      <c r="S26">
        <v>166.1</v>
      </c>
      <c r="T26">
        <v>133</v>
      </c>
      <c r="U26" t="s">
        <v>796</v>
      </c>
      <c r="V26">
        <v>13.736111111111111</v>
      </c>
      <c r="W26">
        <v>1.1438888888888901</v>
      </c>
      <c r="X26" t="s">
        <v>806</v>
      </c>
      <c r="Y26">
        <v>92.277777777777771</v>
      </c>
      <c r="Z26" t="s">
        <v>812</v>
      </c>
      <c r="AA26">
        <v>38.997835306260079</v>
      </c>
      <c r="AB26">
        <v>39.799989401427354</v>
      </c>
      <c r="AC26">
        <v>38.551561489556391</v>
      </c>
      <c r="AD26">
        <v>39.830864533691184</v>
      </c>
      <c r="AE26">
        <v>25.13069027572249</v>
      </c>
      <c r="AF26">
        <v>23.998419583254051</v>
      </c>
      <c r="AG26">
        <v>36.748264151202854</v>
      </c>
      <c r="AH26">
        <v>6.58062598723071</v>
      </c>
      <c r="AI26">
        <v>0.32949064651087195</v>
      </c>
      <c r="AJ26">
        <v>0.32949064651087195</v>
      </c>
      <c r="AK26">
        <v>2.7200256133903204E-2</v>
      </c>
      <c r="AL26">
        <v>2.623010605678485</v>
      </c>
    </row>
    <row r="27" spans="1:38">
      <c r="A27" t="s">
        <v>26</v>
      </c>
      <c r="B27" t="s">
        <v>95</v>
      </c>
      <c r="C27">
        <v>230825</v>
      </c>
      <c r="D27" t="s">
        <v>126</v>
      </c>
      <c r="E27" t="s">
        <v>457</v>
      </c>
      <c r="F27" t="s">
        <v>763</v>
      </c>
      <c r="G27">
        <v>1.67</v>
      </c>
      <c r="H27">
        <v>55.5</v>
      </c>
      <c r="I27">
        <v>24.6</v>
      </c>
      <c r="J27">
        <v>32.700000000000003</v>
      </c>
      <c r="K27">
        <v>10.4</v>
      </c>
      <c r="L27">
        <v>46</v>
      </c>
      <c r="M27" t="s">
        <v>776</v>
      </c>
      <c r="N27" t="s">
        <v>787</v>
      </c>
      <c r="O27">
        <v>14.25</v>
      </c>
      <c r="P27">
        <v>184.9</v>
      </c>
      <c r="Q27">
        <v>179.1</v>
      </c>
      <c r="R27">
        <v>56.7</v>
      </c>
      <c r="S27">
        <v>167.9</v>
      </c>
      <c r="T27">
        <v>133.1</v>
      </c>
      <c r="U27" t="s">
        <v>797</v>
      </c>
      <c r="V27">
        <v>13.438888888888888</v>
      </c>
      <c r="W27">
        <v>0.81111111111111178</v>
      </c>
      <c r="X27" t="s">
        <v>805</v>
      </c>
      <c r="Y27">
        <v>90.805840995132499</v>
      </c>
      <c r="Z27" t="s">
        <v>812</v>
      </c>
      <c r="AA27">
        <v>38.010347252936882</v>
      </c>
      <c r="AB27">
        <v>37.790887377813348</v>
      </c>
      <c r="AC27">
        <v>40.650708097771748</v>
      </c>
      <c r="AD27">
        <v>40.125797312359126</v>
      </c>
      <c r="AE27">
        <v>26.823660022432943</v>
      </c>
      <c r="AF27">
        <v>27.137457358895603</v>
      </c>
      <c r="AG27">
        <v>40.119138058345165</v>
      </c>
      <c r="AH27">
        <v>6.8522465720695021</v>
      </c>
      <c r="AI27">
        <v>0.31431527898988126</v>
      </c>
      <c r="AJ27">
        <v>0.31431527898988126</v>
      </c>
      <c r="AK27">
        <v>2.8678052382677951E-2</v>
      </c>
      <c r="AL27">
        <v>2.7312774599466403</v>
      </c>
    </row>
    <row r="28" spans="1:38">
      <c r="A28" t="s">
        <v>27</v>
      </c>
      <c r="B28" t="s">
        <v>95</v>
      </c>
      <c r="C28">
        <v>230825</v>
      </c>
      <c r="D28" t="s">
        <v>127</v>
      </c>
      <c r="E28" t="s">
        <v>458</v>
      </c>
      <c r="F28" t="s">
        <v>763</v>
      </c>
      <c r="G28">
        <v>1.55</v>
      </c>
      <c r="H28">
        <v>40.4</v>
      </c>
      <c r="I28">
        <v>20.7</v>
      </c>
      <c r="J28">
        <v>29.3</v>
      </c>
      <c r="K28">
        <v>9.4</v>
      </c>
      <c r="L28">
        <v>42.4</v>
      </c>
      <c r="M28" t="s">
        <v>776</v>
      </c>
      <c r="N28" t="s">
        <v>787</v>
      </c>
      <c r="O28">
        <v>13.3</v>
      </c>
      <c r="P28">
        <v>178.3</v>
      </c>
      <c r="Q28">
        <v>176.4</v>
      </c>
      <c r="R28">
        <v>40.4</v>
      </c>
      <c r="S28">
        <v>156.6</v>
      </c>
      <c r="T28">
        <v>126.5</v>
      </c>
      <c r="U28" t="s">
        <v>799</v>
      </c>
      <c r="V28">
        <v>12.95</v>
      </c>
      <c r="W28">
        <v>0.35000000000000142</v>
      </c>
      <c r="X28" t="s">
        <v>805</v>
      </c>
      <c r="Y28">
        <v>87.829500841278744</v>
      </c>
      <c r="Z28" t="s">
        <v>811</v>
      </c>
      <c r="AA28">
        <v>35.588071496733875</v>
      </c>
      <c r="AB28">
        <v>35.600183789458931</v>
      </c>
      <c r="AC28">
        <v>37.210566834827553</v>
      </c>
      <c r="AD28">
        <v>37.607369283207113</v>
      </c>
      <c r="AE28">
        <v>25.781276496128022</v>
      </c>
      <c r="AF28">
        <v>24.400001707522289</v>
      </c>
      <c r="AG28">
        <v>39.49015238546928</v>
      </c>
      <c r="AH28">
        <v>4.9879416488577997</v>
      </c>
      <c r="AI28">
        <v>0.19173720928841995</v>
      </c>
      <c r="AJ28">
        <v>0.19173720928841995</v>
      </c>
      <c r="AK28">
        <v>2.2736392385961961E-2</v>
      </c>
      <c r="AL28">
        <v>1.988173142015212</v>
      </c>
    </row>
    <row r="29" spans="1:38">
      <c r="A29" t="s">
        <v>28</v>
      </c>
      <c r="B29" t="s">
        <v>95</v>
      </c>
      <c r="C29">
        <v>230825</v>
      </c>
      <c r="D29" t="s">
        <v>128</v>
      </c>
      <c r="E29" t="s">
        <v>459</v>
      </c>
      <c r="F29" t="s">
        <v>763</v>
      </c>
      <c r="G29">
        <v>1.635</v>
      </c>
      <c r="H29">
        <v>47.8</v>
      </c>
      <c r="I29">
        <v>22</v>
      </c>
      <c r="J29">
        <v>31.5</v>
      </c>
      <c r="K29">
        <v>9.6999999999999993</v>
      </c>
      <c r="L29">
        <v>45.5</v>
      </c>
      <c r="M29" t="s">
        <v>782</v>
      </c>
      <c r="N29" t="s">
        <v>787</v>
      </c>
      <c r="O29">
        <v>14.28</v>
      </c>
      <c r="P29">
        <v>183.2</v>
      </c>
      <c r="Q29">
        <v>179.7</v>
      </c>
      <c r="R29">
        <v>49.7</v>
      </c>
      <c r="S29">
        <v>164.9</v>
      </c>
      <c r="T29">
        <v>129.1</v>
      </c>
      <c r="U29" t="s">
        <v>799</v>
      </c>
      <c r="V29">
        <v>12.969444444444445</v>
      </c>
      <c r="W29">
        <v>1.3105555555555544</v>
      </c>
      <c r="X29" t="s">
        <v>806</v>
      </c>
      <c r="Y29">
        <v>90.010917030567697</v>
      </c>
      <c r="Z29" t="s">
        <v>812</v>
      </c>
      <c r="AA29">
        <v>39.219042557204659</v>
      </c>
      <c r="AB29">
        <v>37.262766749187385</v>
      </c>
      <c r="AC29">
        <v>40.522439542036082</v>
      </c>
      <c r="AD29">
        <v>41.311093124387021</v>
      </c>
      <c r="AE29">
        <v>23.455425830839332</v>
      </c>
      <c r="AF29">
        <v>23.753613090008553</v>
      </c>
      <c r="AG29">
        <v>38.315518114097827</v>
      </c>
      <c r="AH29">
        <v>5.901574525133733</v>
      </c>
      <c r="AI29">
        <v>0.25855337810096207</v>
      </c>
      <c r="AJ29">
        <v>0.25855337810096207</v>
      </c>
      <c r="AK29">
        <v>2.1625012465860988E-2</v>
      </c>
      <c r="AL29">
        <v>2.3523434700080972</v>
      </c>
    </row>
    <row r="30" spans="1:38">
      <c r="A30" t="s">
        <v>29</v>
      </c>
      <c r="B30" t="s">
        <v>95</v>
      </c>
      <c r="C30">
        <v>230825</v>
      </c>
      <c r="D30" t="s">
        <v>129</v>
      </c>
      <c r="E30" t="s">
        <v>460</v>
      </c>
      <c r="F30" t="s">
        <v>763</v>
      </c>
      <c r="G30">
        <v>1.6</v>
      </c>
      <c r="H30">
        <v>47.5</v>
      </c>
      <c r="I30">
        <v>23</v>
      </c>
      <c r="J30">
        <v>33.5</v>
      </c>
      <c r="K30">
        <v>10.4</v>
      </c>
      <c r="L30">
        <v>44.8</v>
      </c>
      <c r="M30" t="s">
        <v>780</v>
      </c>
      <c r="N30" t="s">
        <v>787</v>
      </c>
      <c r="O30">
        <v>14.2</v>
      </c>
      <c r="P30">
        <v>179.3</v>
      </c>
      <c r="Q30">
        <v>172.7</v>
      </c>
      <c r="R30">
        <v>48.1</v>
      </c>
      <c r="S30">
        <v>162.1</v>
      </c>
      <c r="T30">
        <v>129</v>
      </c>
      <c r="U30" t="s">
        <v>796</v>
      </c>
      <c r="V30">
        <v>13.558333333333334</v>
      </c>
      <c r="W30">
        <v>0.64166666666666572</v>
      </c>
      <c r="X30" t="s">
        <v>805</v>
      </c>
      <c r="Y30">
        <v>90.407138873396534</v>
      </c>
      <c r="Z30" t="s">
        <v>812</v>
      </c>
      <c r="AA30">
        <v>36.018645687888899</v>
      </c>
      <c r="AB30">
        <v>36.241550728999158</v>
      </c>
      <c r="AC30">
        <v>36.236854534955441</v>
      </c>
      <c r="AD30">
        <v>37.340372283045511</v>
      </c>
      <c r="AE30">
        <v>27.139085420505619</v>
      </c>
      <c r="AF30">
        <v>26.158186266964513</v>
      </c>
      <c r="AG30">
        <v>37.993003300257378</v>
      </c>
      <c r="AH30">
        <v>5.8645353544738974</v>
      </c>
      <c r="AI30">
        <v>0.26050049456501145</v>
      </c>
      <c r="AJ30">
        <v>0.26050049456501145</v>
      </c>
      <c r="AK30">
        <v>2.4843352054806284E-2</v>
      </c>
      <c r="AL30">
        <v>2.3375798080624399</v>
      </c>
    </row>
    <row r="31" spans="1:38">
      <c r="A31" t="s">
        <v>30</v>
      </c>
      <c r="B31" t="s">
        <v>95</v>
      </c>
      <c r="C31">
        <v>230825</v>
      </c>
      <c r="D31" t="s">
        <v>130</v>
      </c>
      <c r="E31" t="s">
        <v>461</v>
      </c>
      <c r="F31" t="s">
        <v>763</v>
      </c>
      <c r="G31">
        <v>1.7619999999999998</v>
      </c>
      <c r="H31">
        <v>55.6</v>
      </c>
      <c r="I31">
        <v>24.2</v>
      </c>
      <c r="J31">
        <v>32.4</v>
      </c>
      <c r="K31">
        <v>10.4</v>
      </c>
      <c r="L31">
        <v>46.5</v>
      </c>
      <c r="M31" t="s">
        <v>783</v>
      </c>
      <c r="N31" t="s">
        <v>787</v>
      </c>
      <c r="O31">
        <v>15.97</v>
      </c>
      <c r="P31">
        <v>187.5</v>
      </c>
      <c r="Q31">
        <v>181.6</v>
      </c>
      <c r="R31">
        <v>58.1</v>
      </c>
      <c r="S31">
        <v>177.9</v>
      </c>
      <c r="T31">
        <v>135.80000000000001</v>
      </c>
      <c r="U31" t="s">
        <v>796</v>
      </c>
      <c r="V31">
        <v>13.497222222222222</v>
      </c>
      <c r="W31">
        <v>2.4727777777777789</v>
      </c>
      <c r="X31" t="s">
        <v>804</v>
      </c>
      <c r="Y31">
        <v>94.88</v>
      </c>
      <c r="Z31" t="s">
        <v>813</v>
      </c>
      <c r="AA31">
        <v>41.957946579986817</v>
      </c>
      <c r="AB31">
        <v>41.268360077200747</v>
      </c>
      <c r="AC31">
        <v>44.508837481362704</v>
      </c>
      <c r="AD31">
        <v>45.462957293677924</v>
      </c>
      <c r="AE31">
        <v>27.528736896442929</v>
      </c>
      <c r="AF31">
        <v>26.93262479895829</v>
      </c>
      <c r="AG31">
        <v>43.224938538772939</v>
      </c>
      <c r="AH31">
        <v>6.8645929622894473</v>
      </c>
      <c r="AI31">
        <v>0.36234587399574808</v>
      </c>
      <c r="AJ31">
        <v>0.36234587399574808</v>
      </c>
      <c r="AK31">
        <v>2.5298195995585485E-2</v>
      </c>
      <c r="AL31">
        <v>2.736198680595193</v>
      </c>
    </row>
    <row r="32" spans="1:38">
      <c r="A32" t="s">
        <v>31</v>
      </c>
      <c r="B32" t="s">
        <v>95</v>
      </c>
      <c r="C32">
        <v>230825</v>
      </c>
      <c r="D32" t="s">
        <v>131</v>
      </c>
      <c r="E32" t="s">
        <v>462</v>
      </c>
      <c r="F32" t="s">
        <v>763</v>
      </c>
      <c r="G32">
        <v>1.69</v>
      </c>
      <c r="H32">
        <v>50.1</v>
      </c>
      <c r="I32">
        <v>22.8</v>
      </c>
      <c r="J32">
        <v>31</v>
      </c>
      <c r="K32">
        <v>10.5</v>
      </c>
      <c r="L32">
        <v>44.6</v>
      </c>
      <c r="M32" t="s">
        <v>781</v>
      </c>
      <c r="N32" t="s">
        <v>787</v>
      </c>
      <c r="O32">
        <v>14.92</v>
      </c>
      <c r="P32">
        <v>183.2</v>
      </c>
      <c r="Q32">
        <v>176.4</v>
      </c>
      <c r="R32">
        <v>52.4</v>
      </c>
      <c r="S32">
        <v>169</v>
      </c>
      <c r="T32">
        <v>131.1</v>
      </c>
      <c r="U32" t="s">
        <v>796</v>
      </c>
      <c r="V32">
        <v>13.516666666666667</v>
      </c>
      <c r="W32">
        <v>1.4033333333333324</v>
      </c>
      <c r="X32" t="s">
        <v>806</v>
      </c>
      <c r="Y32">
        <v>92.248908296943227</v>
      </c>
      <c r="Z32" t="s">
        <v>812</v>
      </c>
      <c r="AA32">
        <v>37.596181567586711</v>
      </c>
      <c r="AB32">
        <v>39.980107684940123</v>
      </c>
      <c r="AC32">
        <v>41.930251161615239</v>
      </c>
      <c r="AD32">
        <v>39.907133284056968</v>
      </c>
      <c r="AE32">
        <v>27.429380781282553</v>
      </c>
      <c r="AF32">
        <v>26.555292361748219</v>
      </c>
      <c r="AG32">
        <v>37.796567191767068</v>
      </c>
      <c r="AH32">
        <v>6.1855415001924694</v>
      </c>
      <c r="AI32">
        <v>0.31985280871925009</v>
      </c>
      <c r="AJ32">
        <v>0.31985280871925009</v>
      </c>
      <c r="AK32">
        <v>3.1476927742380582E-2</v>
      </c>
      <c r="AL32">
        <v>2.4655315449248052</v>
      </c>
    </row>
    <row r="33" spans="1:38">
      <c r="A33" t="s">
        <v>32</v>
      </c>
      <c r="B33" t="s">
        <v>96</v>
      </c>
      <c r="C33">
        <v>230816</v>
      </c>
      <c r="D33" t="s">
        <v>132</v>
      </c>
      <c r="E33" t="s">
        <v>463</v>
      </c>
      <c r="F33" t="s">
        <v>763</v>
      </c>
      <c r="G33">
        <v>1.73</v>
      </c>
      <c r="H33">
        <v>56.1</v>
      </c>
      <c r="I33">
        <v>23</v>
      </c>
      <c r="J33">
        <v>33</v>
      </c>
      <c r="K33">
        <v>8.9</v>
      </c>
      <c r="L33">
        <v>43</v>
      </c>
      <c r="M33" t="s">
        <v>783</v>
      </c>
      <c r="N33" t="s">
        <v>787</v>
      </c>
      <c r="O33">
        <v>15.92</v>
      </c>
      <c r="P33">
        <v>181.3</v>
      </c>
      <c r="Q33">
        <v>178.6</v>
      </c>
      <c r="R33">
        <v>56.2</v>
      </c>
      <c r="S33">
        <v>174.7</v>
      </c>
      <c r="T33">
        <v>135.5</v>
      </c>
      <c r="U33" t="s">
        <v>798</v>
      </c>
      <c r="V33">
        <v>14.105555555555556</v>
      </c>
      <c r="W33">
        <v>1.8144444444444439</v>
      </c>
      <c r="X33" t="s">
        <v>806</v>
      </c>
      <c r="Y33">
        <v>96.359624931053489</v>
      </c>
      <c r="Z33" t="s">
        <v>813</v>
      </c>
      <c r="AA33">
        <v>38.673919718707431</v>
      </c>
      <c r="AB33">
        <v>37.987892985861222</v>
      </c>
      <c r="AC33">
        <v>44.003558654077793</v>
      </c>
      <c r="AD33">
        <v>44.685702909320362</v>
      </c>
      <c r="AE33">
        <v>25.046488720988595</v>
      </c>
      <c r="AF33">
        <v>25.80259241609274</v>
      </c>
      <c r="AG33">
        <v>45.327113757002792</v>
      </c>
      <c r="AH33">
        <v>6.9263249133891724</v>
      </c>
      <c r="AI33">
        <v>0.33283700572646258</v>
      </c>
      <c r="AJ33">
        <v>0.33283700572646258</v>
      </c>
      <c r="AK33">
        <v>3.7412422874789263E-2</v>
      </c>
      <c r="AL33">
        <v>2.7608047838379552</v>
      </c>
    </row>
    <row r="34" spans="1:38">
      <c r="A34" t="s">
        <v>33</v>
      </c>
      <c r="B34" t="s">
        <v>96</v>
      </c>
      <c r="C34">
        <v>230816</v>
      </c>
      <c r="D34" t="s">
        <v>133</v>
      </c>
      <c r="E34" t="s">
        <v>464</v>
      </c>
      <c r="F34" t="s">
        <v>763</v>
      </c>
      <c r="G34">
        <v>1.81</v>
      </c>
      <c r="H34">
        <v>82.2</v>
      </c>
      <c r="I34">
        <v>24</v>
      </c>
      <c r="J34">
        <v>38</v>
      </c>
      <c r="K34">
        <v>11.5</v>
      </c>
      <c r="L34">
        <v>58</v>
      </c>
      <c r="M34" t="s">
        <v>780</v>
      </c>
      <c r="N34" t="s">
        <v>787</v>
      </c>
      <c r="O34">
        <v>17.41</v>
      </c>
      <c r="P34">
        <v>183.8</v>
      </c>
      <c r="Q34">
        <v>0</v>
      </c>
      <c r="R34">
        <v>84.5</v>
      </c>
      <c r="S34">
        <v>181.3</v>
      </c>
      <c r="T34">
        <v>140.9</v>
      </c>
      <c r="U34" t="s">
        <v>799</v>
      </c>
      <c r="V34">
        <v>13.833333333333334</v>
      </c>
      <c r="W34">
        <v>3.5766666666666662</v>
      </c>
      <c r="X34" t="s">
        <v>804</v>
      </c>
      <c r="Y34">
        <v>98.6398258977149</v>
      </c>
      <c r="Z34" t="s">
        <v>814</v>
      </c>
      <c r="AA34">
        <v>37.102243078910448</v>
      </c>
      <c r="AB34">
        <v>39.827572335109046</v>
      </c>
      <c r="AC34">
        <v>46.052212784590608</v>
      </c>
      <c r="AD34">
        <v>43.225675545632043</v>
      </c>
      <c r="AE34">
        <v>24.910163699280268</v>
      </c>
      <c r="AF34">
        <v>24.652609597752569</v>
      </c>
      <c r="AG34">
        <v>47.0503640067828</v>
      </c>
      <c r="AH34">
        <v>10.148732760794829</v>
      </c>
      <c r="AI34">
        <v>0.52468649855822136</v>
      </c>
      <c r="AJ34">
        <v>0.52468649855822136</v>
      </c>
      <c r="AK34">
        <v>6.3969916342242611E-2</v>
      </c>
      <c r="AL34">
        <v>4.0452433731101589</v>
      </c>
    </row>
    <row r="35" spans="1:38">
      <c r="A35" t="s">
        <v>34</v>
      </c>
      <c r="B35" t="s">
        <v>96</v>
      </c>
      <c r="C35">
        <v>230816</v>
      </c>
      <c r="D35" t="s">
        <v>134</v>
      </c>
      <c r="E35" t="s">
        <v>465</v>
      </c>
      <c r="F35" t="s">
        <v>763</v>
      </c>
      <c r="G35">
        <v>1.68</v>
      </c>
      <c r="H35">
        <v>60.7</v>
      </c>
      <c r="I35">
        <v>22.5</v>
      </c>
      <c r="J35">
        <v>35.5</v>
      </c>
      <c r="K35">
        <v>10.6</v>
      </c>
      <c r="L35">
        <v>50</v>
      </c>
      <c r="M35" t="s">
        <v>783</v>
      </c>
      <c r="N35" t="s">
        <v>787</v>
      </c>
      <c r="O35">
        <v>15.21</v>
      </c>
      <c r="P35">
        <v>178.4</v>
      </c>
      <c r="Q35">
        <v>173.7</v>
      </c>
      <c r="R35">
        <v>62.2</v>
      </c>
      <c r="S35">
        <v>168.8</v>
      </c>
      <c r="T35">
        <v>130.80000000000001</v>
      </c>
      <c r="U35" t="s">
        <v>797</v>
      </c>
      <c r="V35">
        <v>14.388888888888889</v>
      </c>
      <c r="W35">
        <v>0.82111111111111157</v>
      </c>
      <c r="X35" t="s">
        <v>805</v>
      </c>
      <c r="Y35">
        <v>94.618834080717491</v>
      </c>
      <c r="Z35" t="s">
        <v>813</v>
      </c>
      <c r="AA35">
        <v>37.596982472045745</v>
      </c>
      <c r="AB35">
        <v>37.018383328198865</v>
      </c>
      <c r="AC35">
        <v>41.761071208493448</v>
      </c>
      <c r="AD35">
        <v>41.334010471336093</v>
      </c>
      <c r="AE35">
        <v>26.519235368979054</v>
      </c>
      <c r="AF35">
        <v>26.022902428577758</v>
      </c>
      <c r="AG35">
        <v>40.939664825972635</v>
      </c>
      <c r="AH35">
        <v>7.4942588635066443</v>
      </c>
      <c r="AI35">
        <v>0.35572844710686041</v>
      </c>
      <c r="AJ35">
        <v>0.35572844710686041</v>
      </c>
      <c r="AK35">
        <v>4.1708080197968941E-2</v>
      </c>
      <c r="AL35">
        <v>2.9871809336713704</v>
      </c>
    </row>
    <row r="36" spans="1:38">
      <c r="A36" t="s">
        <v>35</v>
      </c>
      <c r="B36" t="s">
        <v>96</v>
      </c>
      <c r="C36">
        <v>230816</v>
      </c>
      <c r="D36" t="s">
        <v>135</v>
      </c>
      <c r="E36" t="s">
        <v>466</v>
      </c>
      <c r="F36" t="s">
        <v>763</v>
      </c>
      <c r="G36">
        <v>1.7</v>
      </c>
      <c r="H36">
        <v>54.1</v>
      </c>
      <c r="I36">
        <v>22</v>
      </c>
      <c r="J36">
        <v>32</v>
      </c>
      <c r="K36">
        <v>8.6999999999999993</v>
      </c>
      <c r="L36">
        <v>44</v>
      </c>
      <c r="M36" t="s">
        <v>779</v>
      </c>
      <c r="N36" t="s">
        <v>787</v>
      </c>
      <c r="O36">
        <v>15.59</v>
      </c>
      <c r="P36">
        <v>177.1</v>
      </c>
      <c r="Q36">
        <v>175.2</v>
      </c>
      <c r="R36">
        <v>55.6</v>
      </c>
      <c r="S36">
        <v>171.1</v>
      </c>
      <c r="T36">
        <v>133.19999999999999</v>
      </c>
      <c r="U36" t="s">
        <v>796</v>
      </c>
      <c r="V36">
        <v>14.630555555555556</v>
      </c>
      <c r="W36">
        <v>0.95944444444444343</v>
      </c>
      <c r="X36" t="s">
        <v>805</v>
      </c>
      <c r="Y36">
        <v>96.612083568605314</v>
      </c>
      <c r="Z36" t="s">
        <v>813</v>
      </c>
      <c r="AA36">
        <v>38.990054705140601</v>
      </c>
      <c r="AB36">
        <v>37.264516824057225</v>
      </c>
      <c r="AC36">
        <v>42.351977385342877</v>
      </c>
      <c r="AD36">
        <v>42.55400612507087</v>
      </c>
      <c r="AE36">
        <v>23.903740786567617</v>
      </c>
      <c r="AF36">
        <v>23.679839842336008</v>
      </c>
      <c r="AG36">
        <v>43.185497881378708</v>
      </c>
      <c r="AH36">
        <v>6.6793971089902717</v>
      </c>
      <c r="AI36">
        <v>0.31699328985241249</v>
      </c>
      <c r="AJ36">
        <v>0.31699328985241249</v>
      </c>
      <c r="AK36">
        <v>2.5175883087682621E-2</v>
      </c>
      <c r="AL36">
        <v>2.6623803708669054</v>
      </c>
    </row>
    <row r="37" spans="1:38">
      <c r="A37" t="s">
        <v>36</v>
      </c>
      <c r="B37" t="s">
        <v>96</v>
      </c>
      <c r="C37">
        <v>230816</v>
      </c>
      <c r="D37" t="s">
        <v>136</v>
      </c>
      <c r="E37" t="s">
        <v>467</v>
      </c>
      <c r="F37" t="s">
        <v>763</v>
      </c>
      <c r="G37">
        <v>1.69</v>
      </c>
      <c r="H37">
        <v>56.1</v>
      </c>
      <c r="I37">
        <v>21</v>
      </c>
      <c r="J37">
        <v>32</v>
      </c>
      <c r="K37">
        <v>9</v>
      </c>
      <c r="L37">
        <v>46.5</v>
      </c>
      <c r="M37" t="s">
        <v>777</v>
      </c>
      <c r="N37" t="s">
        <v>788</v>
      </c>
      <c r="O37">
        <v>15.21</v>
      </c>
      <c r="P37">
        <v>182.4</v>
      </c>
      <c r="Q37">
        <v>175.8</v>
      </c>
      <c r="R37">
        <v>57.3</v>
      </c>
      <c r="S37">
        <v>170</v>
      </c>
      <c r="T37">
        <v>133.4</v>
      </c>
      <c r="U37" t="s">
        <v>799</v>
      </c>
      <c r="V37">
        <v>13.869444444444444</v>
      </c>
      <c r="W37">
        <v>1.3405555555555573</v>
      </c>
      <c r="X37" t="s">
        <v>806</v>
      </c>
      <c r="Y37">
        <v>93.201754385964904</v>
      </c>
      <c r="Z37" t="s">
        <v>813</v>
      </c>
      <c r="AA37">
        <v>37.47179643583403</v>
      </c>
      <c r="AB37">
        <v>38.387756382003509</v>
      </c>
      <c r="AC37">
        <v>40.8071568634006</v>
      </c>
      <c r="AD37">
        <v>40.444723029631874</v>
      </c>
      <c r="AE37">
        <v>26.42304912043852</v>
      </c>
      <c r="AF37">
        <v>26.348727160398663</v>
      </c>
      <c r="AG37">
        <v>44.470442330033379</v>
      </c>
      <c r="AH37">
        <v>6.9263249133891724</v>
      </c>
      <c r="AI37">
        <v>0.33312563544411111</v>
      </c>
      <c r="AJ37">
        <v>0.33312563544411111</v>
      </c>
      <c r="AK37">
        <v>3.1199541520928204E-2</v>
      </c>
      <c r="AL37">
        <v>2.7608047838379552</v>
      </c>
    </row>
    <row r="38" spans="1:38">
      <c r="A38" t="s">
        <v>37</v>
      </c>
      <c r="B38" t="s">
        <v>96</v>
      </c>
      <c r="C38">
        <v>230816</v>
      </c>
      <c r="D38" t="s">
        <v>137</v>
      </c>
      <c r="E38" t="s">
        <v>468</v>
      </c>
      <c r="F38" t="s">
        <v>763</v>
      </c>
      <c r="G38">
        <v>1.68</v>
      </c>
      <c r="H38">
        <v>53.5</v>
      </c>
      <c r="I38">
        <v>21</v>
      </c>
      <c r="J38">
        <v>34</v>
      </c>
      <c r="K38">
        <v>10</v>
      </c>
      <c r="L38">
        <v>45.5</v>
      </c>
      <c r="M38" t="s">
        <v>784</v>
      </c>
      <c r="N38" t="s">
        <v>787</v>
      </c>
      <c r="O38">
        <v>15.78</v>
      </c>
      <c r="P38">
        <v>180.9</v>
      </c>
      <c r="Q38">
        <v>175.2</v>
      </c>
      <c r="R38">
        <v>54.4</v>
      </c>
      <c r="S38">
        <v>171</v>
      </c>
      <c r="T38">
        <v>131.6</v>
      </c>
      <c r="U38" t="s">
        <v>799</v>
      </c>
      <c r="V38">
        <v>13.875</v>
      </c>
      <c r="W38">
        <v>1.9049999999999994</v>
      </c>
      <c r="X38" t="s">
        <v>806</v>
      </c>
      <c r="Y38">
        <v>94.52736318407959</v>
      </c>
      <c r="Z38" t="s">
        <v>813</v>
      </c>
      <c r="AA38">
        <v>40.59973170888928</v>
      </c>
      <c r="AB38">
        <v>40.393164079360808</v>
      </c>
      <c r="AC38">
        <v>41.50315656051923</v>
      </c>
      <c r="AD38">
        <v>42.051630070532269</v>
      </c>
      <c r="AE38">
        <v>23.504412900916517</v>
      </c>
      <c r="AF38">
        <v>24.601980999223336</v>
      </c>
      <c r="AG38">
        <v>42.299276851935886</v>
      </c>
      <c r="AH38">
        <v>6.6053187676706004</v>
      </c>
      <c r="AI38">
        <v>0.33337499391123809</v>
      </c>
      <c r="AJ38">
        <v>0.33337499391123809</v>
      </c>
      <c r="AK38">
        <v>3.0813363556086344E-2</v>
      </c>
      <c r="AL38">
        <v>2.63285304697559</v>
      </c>
    </row>
    <row r="39" spans="1:38">
      <c r="A39" t="s">
        <v>38</v>
      </c>
      <c r="B39" t="s">
        <v>96</v>
      </c>
      <c r="C39">
        <v>230816</v>
      </c>
      <c r="D39" t="s">
        <v>138</v>
      </c>
      <c r="E39" t="s">
        <v>469</v>
      </c>
      <c r="F39" t="s">
        <v>763</v>
      </c>
      <c r="G39">
        <v>1.7250000000000001</v>
      </c>
      <c r="H39">
        <v>58.9</v>
      </c>
      <c r="I39">
        <v>22</v>
      </c>
      <c r="J39">
        <v>31.5</v>
      </c>
      <c r="K39">
        <v>10</v>
      </c>
      <c r="L39">
        <v>44.5</v>
      </c>
      <c r="O39">
        <v>16.03</v>
      </c>
      <c r="P39">
        <v>182.7</v>
      </c>
      <c r="Q39">
        <v>177.6</v>
      </c>
      <c r="R39">
        <v>60.2</v>
      </c>
      <c r="S39">
        <v>174.4</v>
      </c>
      <c r="T39">
        <v>134</v>
      </c>
      <c r="U39" t="s">
        <v>799</v>
      </c>
      <c r="V39">
        <v>13.941666666666666</v>
      </c>
      <c r="W39">
        <v>2.0883333333333347</v>
      </c>
      <c r="X39" t="s">
        <v>804</v>
      </c>
      <c r="Y39">
        <v>95.457033388067885</v>
      </c>
      <c r="Z39" t="s">
        <v>813</v>
      </c>
      <c r="AA39">
        <v>41.79624766731397</v>
      </c>
      <c r="AB39">
        <v>40.396192785683795</v>
      </c>
      <c r="AC39">
        <v>42.67239272013979</v>
      </c>
      <c r="AD39">
        <v>42.580979476717332</v>
      </c>
      <c r="AE39">
        <v>28.896783111516147</v>
      </c>
      <c r="AF39">
        <v>28.464474547641494</v>
      </c>
      <c r="AG39">
        <v>41.94491401230966</v>
      </c>
      <c r="AH39">
        <v>7.2720238395476331</v>
      </c>
      <c r="AI39">
        <v>0.35905534025261138</v>
      </c>
      <c r="AJ39">
        <v>0.35905534025261138</v>
      </c>
      <c r="AK39">
        <v>3.5540791289009874E-2</v>
      </c>
      <c r="AL39">
        <v>2.8985989619974255</v>
      </c>
    </row>
    <row r="40" spans="1:38">
      <c r="A40" t="s">
        <v>39</v>
      </c>
      <c r="B40" t="s">
        <v>96</v>
      </c>
      <c r="C40">
        <v>230816</v>
      </c>
      <c r="D40" t="s">
        <v>139</v>
      </c>
      <c r="E40" t="s">
        <v>470</v>
      </c>
      <c r="F40" t="s">
        <v>763</v>
      </c>
      <c r="G40">
        <v>1.7549999999999999</v>
      </c>
      <c r="H40">
        <v>61.9</v>
      </c>
      <c r="I40">
        <v>24</v>
      </c>
      <c r="J40">
        <v>35</v>
      </c>
      <c r="K40">
        <v>10.6</v>
      </c>
      <c r="L40">
        <v>50</v>
      </c>
      <c r="M40" t="s">
        <v>780</v>
      </c>
      <c r="N40" t="s">
        <v>787</v>
      </c>
      <c r="O40">
        <v>16.39</v>
      </c>
      <c r="P40">
        <v>179.8</v>
      </c>
      <c r="Q40">
        <v>178.7</v>
      </c>
      <c r="R40">
        <v>62.6</v>
      </c>
      <c r="S40">
        <v>176.1</v>
      </c>
      <c r="T40">
        <v>134.4</v>
      </c>
      <c r="U40" t="s">
        <v>797</v>
      </c>
      <c r="V40">
        <v>14.386111111111111</v>
      </c>
      <c r="W40">
        <v>2.0038888888888895</v>
      </c>
      <c r="X40" t="s">
        <v>804</v>
      </c>
      <c r="Y40">
        <v>97.942157953281423</v>
      </c>
      <c r="Z40" t="s">
        <v>814</v>
      </c>
      <c r="AA40">
        <v>41.971819196117288</v>
      </c>
      <c r="AB40">
        <v>38.494178236024247</v>
      </c>
      <c r="AC40">
        <v>42.510251765828102</v>
      </c>
      <c r="AD40">
        <v>46.022162335490123</v>
      </c>
      <c r="AE40">
        <v>26.90746934257573</v>
      </c>
      <c r="AF40">
        <v>26.439691871873965</v>
      </c>
      <c r="AG40">
        <v>44.85100212914729</v>
      </c>
      <c r="AH40">
        <v>7.6424155461459842</v>
      </c>
      <c r="AI40">
        <v>0.38142211347493349</v>
      </c>
      <c r="AJ40">
        <v>0.38142211347493349</v>
      </c>
      <c r="AK40">
        <v>3.3969193644031594E-2</v>
      </c>
      <c r="AL40">
        <v>3.0462355814540003</v>
      </c>
    </row>
    <row r="41" spans="1:38">
      <c r="A41" t="s">
        <v>40</v>
      </c>
      <c r="B41" t="s">
        <v>96</v>
      </c>
      <c r="C41">
        <v>230816</v>
      </c>
      <c r="D41" t="s">
        <v>140</v>
      </c>
      <c r="E41" t="s">
        <v>471</v>
      </c>
      <c r="F41" t="s">
        <v>763</v>
      </c>
      <c r="G41">
        <v>1.82</v>
      </c>
      <c r="H41">
        <v>69.7</v>
      </c>
      <c r="I41">
        <v>24</v>
      </c>
      <c r="J41">
        <v>35.5</v>
      </c>
      <c r="K41">
        <v>10.9</v>
      </c>
      <c r="L41">
        <v>50.5</v>
      </c>
      <c r="M41" t="s">
        <v>780</v>
      </c>
      <c r="N41" t="s">
        <v>787</v>
      </c>
      <c r="O41">
        <v>17.329999999999998</v>
      </c>
      <c r="P41">
        <v>183</v>
      </c>
      <c r="Q41">
        <v>0</v>
      </c>
      <c r="R41">
        <v>71.5</v>
      </c>
      <c r="S41">
        <v>182.6</v>
      </c>
      <c r="T41">
        <v>143.4</v>
      </c>
      <c r="U41" t="s">
        <v>796</v>
      </c>
      <c r="V41">
        <v>14.672222222222222</v>
      </c>
      <c r="W41">
        <v>2.6577777777777758</v>
      </c>
      <c r="X41" t="s">
        <v>804</v>
      </c>
      <c r="Y41">
        <v>99.78142076502732</v>
      </c>
      <c r="Z41" t="s">
        <v>814</v>
      </c>
      <c r="AA41">
        <v>38.936439424957214</v>
      </c>
      <c r="AB41">
        <v>39.170057551795978</v>
      </c>
      <c r="AC41">
        <v>42.514374567723692</v>
      </c>
      <c r="AD41">
        <v>45.064020882875568</v>
      </c>
      <c r="AE41">
        <v>26.746346651833232</v>
      </c>
      <c r="AF41">
        <v>25.028730856216335</v>
      </c>
      <c r="AG41">
        <v>48.630729067705126</v>
      </c>
      <c r="AH41">
        <v>8.6054339833016993</v>
      </c>
      <c r="AI41">
        <v>0.42642167387295277</v>
      </c>
      <c r="AJ41">
        <v>0.42642167387295277</v>
      </c>
      <c r="AK41">
        <v>4.7490862066862427E-2</v>
      </c>
      <c r="AL41">
        <v>3.4300907920410961</v>
      </c>
    </row>
    <row r="42" spans="1:38">
      <c r="A42" t="s">
        <v>41</v>
      </c>
      <c r="B42" t="s">
        <v>96</v>
      </c>
      <c r="C42">
        <v>230816</v>
      </c>
      <c r="D42" t="s">
        <v>141</v>
      </c>
      <c r="E42" t="s">
        <v>472</v>
      </c>
      <c r="F42" t="s">
        <v>763</v>
      </c>
      <c r="G42">
        <v>1.74</v>
      </c>
      <c r="H42">
        <v>65.599999999999994</v>
      </c>
      <c r="I42">
        <v>24.5</v>
      </c>
      <c r="J42">
        <v>36</v>
      </c>
      <c r="K42">
        <v>9.6</v>
      </c>
      <c r="L42">
        <v>50</v>
      </c>
      <c r="M42" t="s">
        <v>781</v>
      </c>
      <c r="N42" t="s">
        <v>788</v>
      </c>
      <c r="O42">
        <v>16.48</v>
      </c>
      <c r="P42">
        <v>176</v>
      </c>
      <c r="Q42">
        <v>176.6</v>
      </c>
      <c r="R42">
        <v>65.599999999999994</v>
      </c>
      <c r="S42">
        <v>173.6</v>
      </c>
      <c r="T42">
        <v>137.4</v>
      </c>
      <c r="U42" t="s">
        <v>796</v>
      </c>
      <c r="V42">
        <v>14.672222222222222</v>
      </c>
      <c r="W42">
        <v>1.8077777777777779</v>
      </c>
      <c r="X42" t="s">
        <v>806</v>
      </c>
      <c r="Y42">
        <v>98.636363636363626</v>
      </c>
      <c r="Z42" t="s">
        <v>814</v>
      </c>
      <c r="AA42">
        <v>38.94222958661792</v>
      </c>
      <c r="AB42">
        <v>37.857253912133771</v>
      </c>
      <c r="AC42">
        <v>41.679423704085103</v>
      </c>
      <c r="AD42">
        <v>43.131558907251502</v>
      </c>
      <c r="AE42">
        <v>26.063919100238781</v>
      </c>
      <c r="AF42">
        <v>26.296622403893252</v>
      </c>
      <c r="AG42">
        <v>43.522112585164848</v>
      </c>
      <c r="AH42">
        <v>8.09923198428395</v>
      </c>
      <c r="AI42">
        <v>0.40190656204341801</v>
      </c>
      <c r="AJ42">
        <v>0.40190656204341801</v>
      </c>
      <c r="AK42">
        <v>3.1252091556147485E-2</v>
      </c>
      <c r="AL42">
        <v>3.2283207454504428</v>
      </c>
    </row>
    <row r="43" spans="1:38">
      <c r="A43" t="s">
        <v>42</v>
      </c>
      <c r="B43" t="s">
        <v>96</v>
      </c>
      <c r="C43">
        <v>230816</v>
      </c>
      <c r="D43" t="s">
        <v>142</v>
      </c>
      <c r="E43" t="s">
        <v>473</v>
      </c>
      <c r="F43" t="s">
        <v>763</v>
      </c>
      <c r="G43">
        <v>1.54</v>
      </c>
      <c r="H43">
        <v>38.4</v>
      </c>
      <c r="I43">
        <v>19</v>
      </c>
      <c r="J43">
        <v>29</v>
      </c>
      <c r="K43">
        <v>8.8000000000000007</v>
      </c>
      <c r="L43">
        <v>41</v>
      </c>
      <c r="M43" t="s">
        <v>783</v>
      </c>
      <c r="N43" t="s">
        <v>788</v>
      </c>
      <c r="O43">
        <v>12.8</v>
      </c>
      <c r="P43">
        <v>174.9</v>
      </c>
      <c r="Q43">
        <v>178.4</v>
      </c>
      <c r="R43">
        <v>40</v>
      </c>
      <c r="S43">
        <v>155.4</v>
      </c>
      <c r="T43">
        <v>127.2</v>
      </c>
      <c r="U43" t="s">
        <v>796</v>
      </c>
      <c r="V43">
        <v>14.58611111111111</v>
      </c>
      <c r="W43">
        <v>-1.7861111111111097</v>
      </c>
      <c r="X43" t="s">
        <v>808</v>
      </c>
      <c r="Y43">
        <v>88.8507718696398</v>
      </c>
      <c r="Z43" t="s">
        <v>811</v>
      </c>
      <c r="AA43">
        <v>34.899509575713054</v>
      </c>
      <c r="AB43">
        <v>35.272796153641487</v>
      </c>
      <c r="AC43">
        <v>36.888185005402086</v>
      </c>
      <c r="AD43">
        <v>36.199408870079296</v>
      </c>
      <c r="AE43">
        <v>24.481793544444791</v>
      </c>
      <c r="AF43">
        <v>23.94029094038877</v>
      </c>
      <c r="AG43">
        <v>38.877215300638838</v>
      </c>
      <c r="AH43">
        <v>4.7410138444588981</v>
      </c>
      <c r="AI43">
        <v>0.18790231058972248</v>
      </c>
      <c r="AJ43">
        <v>0.18790231058972248</v>
      </c>
      <c r="AK43">
        <v>1.6029302181180892E-2</v>
      </c>
      <c r="AL43">
        <v>1.8897487290441619</v>
      </c>
    </row>
    <row r="44" spans="1:38">
      <c r="A44" t="s">
        <v>43</v>
      </c>
      <c r="B44" t="s">
        <v>96</v>
      </c>
      <c r="C44">
        <v>230816</v>
      </c>
      <c r="D44" t="s">
        <v>143</v>
      </c>
      <c r="E44" t="s">
        <v>474</v>
      </c>
      <c r="F44" t="s">
        <v>763</v>
      </c>
      <c r="G44">
        <v>1.7250000000000001</v>
      </c>
      <c r="H44">
        <v>57.2</v>
      </c>
      <c r="I44">
        <v>23</v>
      </c>
      <c r="J44">
        <v>33</v>
      </c>
      <c r="K44">
        <v>9.6999999999999993</v>
      </c>
      <c r="L44">
        <v>47</v>
      </c>
      <c r="M44" t="s">
        <v>783</v>
      </c>
      <c r="N44" t="s">
        <v>787</v>
      </c>
      <c r="O44">
        <v>15.8</v>
      </c>
      <c r="P44">
        <v>178.8</v>
      </c>
      <c r="Q44">
        <v>178.3</v>
      </c>
      <c r="R44">
        <v>57.4</v>
      </c>
      <c r="S44">
        <v>174.1</v>
      </c>
      <c r="T44">
        <v>133.1</v>
      </c>
      <c r="U44" t="s">
        <v>796</v>
      </c>
      <c r="V44">
        <v>14.633333333333333</v>
      </c>
      <c r="W44">
        <v>1.1666666666666679</v>
      </c>
      <c r="X44" t="s">
        <v>806</v>
      </c>
      <c r="Y44">
        <v>97.371364653243845</v>
      </c>
      <c r="Z44" t="s">
        <v>814</v>
      </c>
      <c r="AA44">
        <v>39.569851151710544</v>
      </c>
      <c r="AB44">
        <v>40.250328990285958</v>
      </c>
      <c r="AC44">
        <v>43.090056737895942</v>
      </c>
      <c r="AD44">
        <v>41.340582548371501</v>
      </c>
      <c r="AE44">
        <v>27.372557520819477</v>
      </c>
      <c r="AF44">
        <v>27.248848104040299</v>
      </c>
      <c r="AG44">
        <v>40.83460036526774</v>
      </c>
      <c r="AH44">
        <v>7.0621352058085671</v>
      </c>
      <c r="AI44">
        <v>0.38617485009489916</v>
      </c>
      <c r="AJ44">
        <v>0.38617485009489916</v>
      </c>
      <c r="AK44">
        <v>3.3862418714452537E-2</v>
      </c>
      <c r="AL44">
        <v>2.8149382109720329</v>
      </c>
    </row>
    <row r="45" spans="1:38">
      <c r="A45" t="s">
        <v>44</v>
      </c>
      <c r="B45" t="s">
        <v>96</v>
      </c>
      <c r="C45">
        <v>230816</v>
      </c>
      <c r="D45" t="s">
        <v>144</v>
      </c>
      <c r="E45" t="s">
        <v>475</v>
      </c>
      <c r="F45" t="s">
        <v>763</v>
      </c>
      <c r="G45">
        <v>1.76</v>
      </c>
      <c r="H45">
        <v>63.2</v>
      </c>
      <c r="I45">
        <v>22</v>
      </c>
      <c r="J45">
        <v>35</v>
      </c>
      <c r="K45">
        <v>10.1</v>
      </c>
      <c r="L45">
        <v>48</v>
      </c>
      <c r="O45">
        <v>16.53</v>
      </c>
      <c r="P45">
        <v>178.4</v>
      </c>
      <c r="Q45">
        <v>179.7</v>
      </c>
      <c r="R45">
        <v>64</v>
      </c>
      <c r="S45">
        <v>177.4</v>
      </c>
      <c r="T45">
        <v>138.4</v>
      </c>
      <c r="U45" t="s">
        <v>796</v>
      </c>
      <c r="V45">
        <v>14.694444444444445</v>
      </c>
      <c r="W45">
        <v>1.8355555555555565</v>
      </c>
      <c r="X45" t="s">
        <v>806</v>
      </c>
      <c r="Y45">
        <v>99.439461883408072</v>
      </c>
      <c r="Z45" t="s">
        <v>814</v>
      </c>
      <c r="AA45">
        <v>40.509544030672501</v>
      </c>
      <c r="AB45">
        <v>40.772445372137192</v>
      </c>
      <c r="AC45">
        <v>41.305877029080222</v>
      </c>
      <c r="AD45">
        <v>41.396130876698791</v>
      </c>
      <c r="AE45">
        <v>25.390449909619402</v>
      </c>
      <c r="AF45">
        <v>24.712881693963737</v>
      </c>
      <c r="AG45">
        <v>45.704644696435331</v>
      </c>
      <c r="AH45">
        <v>7.8029186190052702</v>
      </c>
      <c r="AI45">
        <v>0.40189175411260514</v>
      </c>
      <c r="AJ45">
        <v>0.40189175411260514</v>
      </c>
      <c r="AK45">
        <v>3.4044688086013054E-2</v>
      </c>
      <c r="AL45">
        <v>3.1102114498851829</v>
      </c>
    </row>
    <row r="46" spans="1:38">
      <c r="A46" t="s">
        <v>45</v>
      </c>
      <c r="B46" t="s">
        <v>97</v>
      </c>
      <c r="C46">
        <v>230822</v>
      </c>
      <c r="D46" t="s">
        <v>145</v>
      </c>
      <c r="E46" t="s">
        <v>476</v>
      </c>
      <c r="F46" t="s">
        <v>763</v>
      </c>
      <c r="G46">
        <v>1.9</v>
      </c>
      <c r="H46">
        <v>71.900000000000006</v>
      </c>
      <c r="I46">
        <v>26.6</v>
      </c>
      <c r="J46">
        <v>34</v>
      </c>
      <c r="K46">
        <v>10.8</v>
      </c>
      <c r="L46">
        <v>54</v>
      </c>
      <c r="M46" t="s">
        <v>776</v>
      </c>
      <c r="N46" t="s">
        <v>787</v>
      </c>
      <c r="O46">
        <v>18.29</v>
      </c>
      <c r="P46">
        <v>192</v>
      </c>
      <c r="Q46">
        <v>0</v>
      </c>
      <c r="R46">
        <v>72.8</v>
      </c>
      <c r="S46">
        <v>192</v>
      </c>
      <c r="T46">
        <v>142.5</v>
      </c>
      <c r="U46" t="s">
        <v>796</v>
      </c>
      <c r="V46">
        <v>15.7</v>
      </c>
      <c r="W46">
        <v>2.59</v>
      </c>
      <c r="X46" t="s">
        <v>804</v>
      </c>
      <c r="Y46">
        <v>100</v>
      </c>
      <c r="Z46" t="s">
        <v>814</v>
      </c>
      <c r="AA46">
        <v>46.020052696482438</v>
      </c>
      <c r="AB46">
        <v>44.748121783132518</v>
      </c>
      <c r="AC46">
        <v>47.380694321844416</v>
      </c>
      <c r="AD46">
        <v>47.616340747245772</v>
      </c>
      <c r="AE46">
        <v>28.470959697470295</v>
      </c>
      <c r="AF46">
        <v>28.547914489137089</v>
      </c>
      <c r="AG46">
        <v>48.539381237587001</v>
      </c>
      <c r="AH46">
        <v>8.8770545681404904</v>
      </c>
      <c r="AI46">
        <v>0.54673661179879052</v>
      </c>
      <c r="AJ46">
        <v>0.54673661179879052</v>
      </c>
      <c r="AK46">
        <v>4.1633098037332235E-2</v>
      </c>
      <c r="AL46">
        <v>3.538357646309251</v>
      </c>
    </row>
    <row r="47" spans="1:38">
      <c r="A47" t="s">
        <v>46</v>
      </c>
      <c r="B47" t="s">
        <v>97</v>
      </c>
      <c r="C47">
        <v>230822</v>
      </c>
      <c r="D47" t="s">
        <v>146</v>
      </c>
      <c r="E47" t="s">
        <v>477</v>
      </c>
      <c r="F47" t="s">
        <v>763</v>
      </c>
      <c r="G47">
        <v>1.7649999999999999</v>
      </c>
      <c r="H47">
        <v>65.5</v>
      </c>
      <c r="I47">
        <v>24.5</v>
      </c>
      <c r="J47">
        <v>34</v>
      </c>
      <c r="K47">
        <v>10</v>
      </c>
      <c r="L47">
        <v>52.4</v>
      </c>
      <c r="M47" t="s">
        <v>781</v>
      </c>
      <c r="N47" t="s">
        <v>787</v>
      </c>
      <c r="O47">
        <v>17.39</v>
      </c>
      <c r="P47">
        <v>177</v>
      </c>
      <c r="Q47">
        <v>0</v>
      </c>
      <c r="R47">
        <v>67.5</v>
      </c>
      <c r="S47">
        <v>177</v>
      </c>
      <c r="T47">
        <v>139</v>
      </c>
      <c r="U47" t="s">
        <v>797</v>
      </c>
      <c r="V47">
        <v>15.372222222222222</v>
      </c>
      <c r="W47">
        <v>2.0177777777777788</v>
      </c>
      <c r="X47" t="s">
        <v>804</v>
      </c>
      <c r="Y47">
        <v>100</v>
      </c>
      <c r="Z47" t="s">
        <v>814</v>
      </c>
      <c r="AA47">
        <v>41.17868345000565</v>
      </c>
      <c r="AB47">
        <v>38.172019348169414</v>
      </c>
      <c r="AC47">
        <v>41.484372380874333</v>
      </c>
      <c r="AD47">
        <v>41.61973118975844</v>
      </c>
      <c r="AE47">
        <v>26.598331295913233</v>
      </c>
      <c r="AF47">
        <v>26.535411391542482</v>
      </c>
      <c r="AG47">
        <v>46.404997053276617</v>
      </c>
      <c r="AH47">
        <v>8.0868855940640056</v>
      </c>
      <c r="AI47">
        <v>0.41225965252939234</v>
      </c>
      <c r="AJ47">
        <v>0.41225965252939234</v>
      </c>
      <c r="AK47">
        <v>2.9537511483538635E-2</v>
      </c>
      <c r="AL47">
        <v>3.2233995248018905</v>
      </c>
    </row>
    <row r="48" spans="1:38">
      <c r="A48" t="s">
        <v>47</v>
      </c>
      <c r="B48" t="s">
        <v>97</v>
      </c>
      <c r="C48">
        <v>230822</v>
      </c>
      <c r="D48" t="s">
        <v>147</v>
      </c>
      <c r="E48" t="s">
        <v>478</v>
      </c>
      <c r="F48" t="s">
        <v>763</v>
      </c>
      <c r="G48">
        <v>1.89</v>
      </c>
      <c r="H48">
        <v>80.8</v>
      </c>
      <c r="I48">
        <v>27.5</v>
      </c>
      <c r="J48">
        <v>37.700000000000003</v>
      </c>
      <c r="K48">
        <v>11.8</v>
      </c>
      <c r="L48">
        <v>56.6</v>
      </c>
      <c r="M48" t="s">
        <v>776</v>
      </c>
      <c r="N48" t="s">
        <v>787</v>
      </c>
      <c r="O48">
        <v>17.77</v>
      </c>
      <c r="P48">
        <v>190</v>
      </c>
      <c r="Q48">
        <v>0</v>
      </c>
      <c r="R48">
        <v>80.8</v>
      </c>
      <c r="S48">
        <v>190.2</v>
      </c>
      <c r="T48">
        <v>143</v>
      </c>
      <c r="U48" t="s">
        <v>796</v>
      </c>
      <c r="V48">
        <v>15.605555555555556</v>
      </c>
      <c r="W48">
        <v>2.1644444444444435</v>
      </c>
      <c r="X48" t="s">
        <v>804</v>
      </c>
      <c r="Y48">
        <v>100.10526315789474</v>
      </c>
      <c r="Z48" t="s">
        <v>814</v>
      </c>
      <c r="AA48">
        <v>40.780419174232129</v>
      </c>
      <c r="AB48">
        <v>40.189319980346582</v>
      </c>
      <c r="AC48">
        <v>46.536702581677218</v>
      </c>
      <c r="AD48">
        <v>46.622336771523379</v>
      </c>
      <c r="AE48">
        <v>30.296817897628916</v>
      </c>
      <c r="AF48">
        <v>30.022067294131727</v>
      </c>
      <c r="AG48">
        <v>46.644541261517389</v>
      </c>
      <c r="AH48">
        <v>9.9758832977155993</v>
      </c>
      <c r="AI48">
        <v>0.52378749585320339</v>
      </c>
      <c r="AJ48">
        <v>0.52378749585320339</v>
      </c>
      <c r="AK48">
        <v>5.0124544435574889E-2</v>
      </c>
      <c r="AL48">
        <v>3.976346284030424</v>
      </c>
    </row>
    <row r="49" spans="1:38">
      <c r="A49" t="s">
        <v>48</v>
      </c>
      <c r="B49" t="s">
        <v>97</v>
      </c>
      <c r="C49">
        <v>230822</v>
      </c>
      <c r="D49" t="s">
        <v>148</v>
      </c>
      <c r="E49" t="s">
        <v>479</v>
      </c>
      <c r="F49" t="s">
        <v>763</v>
      </c>
      <c r="G49">
        <v>1.655</v>
      </c>
      <c r="H49">
        <v>53.8</v>
      </c>
      <c r="I49">
        <v>22.7</v>
      </c>
      <c r="J49">
        <v>31</v>
      </c>
      <c r="K49">
        <v>9.5</v>
      </c>
      <c r="L49">
        <v>48.8</v>
      </c>
      <c r="M49" t="s">
        <v>783</v>
      </c>
      <c r="N49" t="s">
        <v>788</v>
      </c>
      <c r="O49">
        <v>15.6</v>
      </c>
      <c r="P49">
        <v>174.3</v>
      </c>
      <c r="Q49">
        <v>171.1</v>
      </c>
      <c r="R49">
        <v>52.9</v>
      </c>
      <c r="S49">
        <v>166.5</v>
      </c>
      <c r="T49">
        <v>133.5</v>
      </c>
      <c r="U49" t="s">
        <v>796</v>
      </c>
      <c r="V49">
        <v>15.574999999999999</v>
      </c>
      <c r="W49">
        <v>2.5000000000000355E-2</v>
      </c>
      <c r="X49" t="s">
        <v>805</v>
      </c>
      <c r="Y49">
        <v>95.524956970740092</v>
      </c>
      <c r="Z49" t="s">
        <v>813</v>
      </c>
      <c r="AA49">
        <v>36.06432935481628</v>
      </c>
      <c r="AB49">
        <v>35.45610247608424</v>
      </c>
      <c r="AC49">
        <v>36.851795012307527</v>
      </c>
      <c r="AD49">
        <v>37.848712967553297</v>
      </c>
      <c r="AE49">
        <v>24.513340190043639</v>
      </c>
      <c r="AF49">
        <v>24.910483594662562</v>
      </c>
      <c r="AG49">
        <v>44.163832170906481</v>
      </c>
      <c r="AH49">
        <v>6.6423579383304352</v>
      </c>
      <c r="AI49">
        <v>0.27852002039182566</v>
      </c>
      <c r="AJ49">
        <v>0.27852002039182566</v>
      </c>
      <c r="AK49">
        <v>2.2621913785945132E-2</v>
      </c>
      <c r="AL49">
        <v>2.6476167089212472</v>
      </c>
    </row>
    <row r="50" spans="1:38">
      <c r="A50" t="s">
        <v>49</v>
      </c>
      <c r="B50" t="s">
        <v>97</v>
      </c>
      <c r="C50">
        <v>230823</v>
      </c>
      <c r="D50" t="s">
        <v>149</v>
      </c>
      <c r="E50" t="s">
        <v>480</v>
      </c>
      <c r="F50" t="s">
        <v>763</v>
      </c>
      <c r="G50">
        <v>1.7050000000000001</v>
      </c>
      <c r="H50">
        <v>60.9</v>
      </c>
      <c r="I50">
        <v>23.3</v>
      </c>
      <c r="J50">
        <v>34.799999999999997</v>
      </c>
      <c r="K50">
        <v>10</v>
      </c>
      <c r="L50">
        <v>53.5</v>
      </c>
      <c r="M50" t="s">
        <v>784</v>
      </c>
      <c r="N50" t="s">
        <v>787</v>
      </c>
      <c r="O50">
        <v>16.61</v>
      </c>
      <c r="P50">
        <v>175.6</v>
      </c>
      <c r="Q50">
        <v>174.6</v>
      </c>
      <c r="R50">
        <v>61.4</v>
      </c>
      <c r="S50">
        <v>172</v>
      </c>
      <c r="T50">
        <v>137</v>
      </c>
      <c r="U50" t="s">
        <v>798</v>
      </c>
      <c r="V50">
        <v>15.083333333333334</v>
      </c>
      <c r="W50">
        <v>1.5266666666666655</v>
      </c>
      <c r="X50" t="s">
        <v>806</v>
      </c>
      <c r="Y50">
        <v>97.949886104783602</v>
      </c>
      <c r="Z50" t="s">
        <v>814</v>
      </c>
      <c r="AA50">
        <v>36.491735166183688</v>
      </c>
      <c r="AB50">
        <v>35.326733461526246</v>
      </c>
      <c r="AC50">
        <v>39.919806730179495</v>
      </c>
      <c r="AD50">
        <v>39.707190376557534</v>
      </c>
      <c r="AE50">
        <v>25.992252580960024</v>
      </c>
      <c r="AF50">
        <v>27.000078014868024</v>
      </c>
      <c r="AG50">
        <v>43.668611756515446</v>
      </c>
      <c r="AH50">
        <v>7.5189516439465338</v>
      </c>
      <c r="AI50">
        <v>0.32887210366511305</v>
      </c>
      <c r="AJ50">
        <v>0.32887210366511305</v>
      </c>
      <c r="AK50">
        <v>3.2536957984950383E-2</v>
      </c>
      <c r="AL50">
        <v>2.9970233749684754</v>
      </c>
    </row>
    <row r="51" spans="1:38">
      <c r="A51" t="s">
        <v>50</v>
      </c>
      <c r="B51" t="s">
        <v>97</v>
      </c>
      <c r="C51">
        <v>230823</v>
      </c>
      <c r="D51" t="s">
        <v>150</v>
      </c>
      <c r="E51" t="s">
        <v>481</v>
      </c>
      <c r="F51" t="s">
        <v>763</v>
      </c>
      <c r="G51">
        <v>1.76</v>
      </c>
      <c r="H51">
        <v>65</v>
      </c>
      <c r="I51">
        <v>23.7</v>
      </c>
      <c r="J51">
        <v>36.299999999999997</v>
      </c>
      <c r="K51">
        <v>10.3</v>
      </c>
      <c r="L51">
        <v>52.6</v>
      </c>
      <c r="M51" t="s">
        <v>778</v>
      </c>
      <c r="N51" t="s">
        <v>787</v>
      </c>
      <c r="O51">
        <v>17.02</v>
      </c>
      <c r="P51">
        <v>177.9</v>
      </c>
      <c r="Q51">
        <v>178.8</v>
      </c>
      <c r="R51">
        <v>66.3</v>
      </c>
      <c r="S51">
        <v>176.5</v>
      </c>
      <c r="T51">
        <v>140</v>
      </c>
      <c r="U51" t="s">
        <v>796</v>
      </c>
      <c r="V51">
        <v>15.652777777777779</v>
      </c>
      <c r="W51">
        <v>1.367222222222221</v>
      </c>
      <c r="X51" t="s">
        <v>806</v>
      </c>
      <c r="Y51">
        <v>99.213041034288921</v>
      </c>
      <c r="Z51" t="s">
        <v>814</v>
      </c>
      <c r="AA51">
        <v>41.339457260949274</v>
      </c>
      <c r="AB51">
        <v>40.792377210955365</v>
      </c>
      <c r="AC51">
        <v>41.428440257143386</v>
      </c>
      <c r="AD51">
        <v>41.342965251559264</v>
      </c>
      <c r="AE51">
        <v>26.347174143189029</v>
      </c>
      <c r="AF51">
        <v>26.572740985724305</v>
      </c>
      <c r="AG51">
        <v>45.179794273377794</v>
      </c>
      <c r="AH51">
        <v>8.0251536429642805</v>
      </c>
      <c r="AI51">
        <v>0.3937987409578575</v>
      </c>
      <c r="AJ51">
        <v>0.3937987409578575</v>
      </c>
      <c r="AK51">
        <v>3.7061306234538426E-2</v>
      </c>
      <c r="AL51">
        <v>3.1987934215591278</v>
      </c>
    </row>
    <row r="52" spans="1:38">
      <c r="A52" t="s">
        <v>51</v>
      </c>
      <c r="B52" t="s">
        <v>97</v>
      </c>
      <c r="C52">
        <v>230823</v>
      </c>
      <c r="D52" t="s">
        <v>151</v>
      </c>
      <c r="E52" t="s">
        <v>482</v>
      </c>
      <c r="F52" t="s">
        <v>763</v>
      </c>
      <c r="G52">
        <v>1.8</v>
      </c>
      <c r="H52">
        <v>74.099999999999994</v>
      </c>
      <c r="I52">
        <v>24.6</v>
      </c>
      <c r="J52">
        <v>37.4</v>
      </c>
      <c r="K52">
        <v>10</v>
      </c>
      <c r="L52">
        <v>55.5</v>
      </c>
      <c r="M52" t="s">
        <v>780</v>
      </c>
      <c r="N52" t="s">
        <v>787</v>
      </c>
      <c r="O52">
        <v>17.47</v>
      </c>
      <c r="P52">
        <v>182</v>
      </c>
      <c r="Q52">
        <v>0</v>
      </c>
      <c r="R52">
        <v>75</v>
      </c>
      <c r="S52">
        <v>181.5</v>
      </c>
      <c r="T52">
        <v>141</v>
      </c>
      <c r="U52" t="s">
        <v>797</v>
      </c>
      <c r="V52">
        <v>15.388888888888889</v>
      </c>
      <c r="W52">
        <v>2.0811111111111096</v>
      </c>
      <c r="X52" t="s">
        <v>804</v>
      </c>
      <c r="Y52">
        <v>99.72527472527473</v>
      </c>
      <c r="Z52" t="s">
        <v>814</v>
      </c>
      <c r="AA52">
        <v>42.811738305875615</v>
      </c>
      <c r="AB52">
        <v>40.213965086296916</v>
      </c>
      <c r="AC52">
        <v>43.608132699011279</v>
      </c>
      <c r="AD52">
        <v>42.621380734975098</v>
      </c>
      <c r="AE52">
        <v>26.889376907790439</v>
      </c>
      <c r="AF52">
        <v>26.054278377936289</v>
      </c>
      <c r="AG52">
        <v>48.439530549572673</v>
      </c>
      <c r="AH52">
        <v>9.1486751529792798</v>
      </c>
      <c r="AI52">
        <v>0.5117257606574257</v>
      </c>
      <c r="AJ52">
        <v>0.5117257606574257</v>
      </c>
      <c r="AK52">
        <v>4.5519542143333279E-2</v>
      </c>
      <c r="AL52">
        <v>3.6466245005774058</v>
      </c>
    </row>
    <row r="53" spans="1:38">
      <c r="A53" t="s">
        <v>1</v>
      </c>
      <c r="B53" t="s">
        <v>93</v>
      </c>
      <c r="C53">
        <v>231114</v>
      </c>
      <c r="D53" t="s">
        <v>152</v>
      </c>
      <c r="E53" t="s">
        <v>483</v>
      </c>
      <c r="F53" t="s">
        <v>764</v>
      </c>
      <c r="G53">
        <v>1.649</v>
      </c>
      <c r="H53">
        <v>44.7</v>
      </c>
      <c r="I53">
        <v>20.2</v>
      </c>
      <c r="J53">
        <v>30.4</v>
      </c>
      <c r="K53">
        <v>10</v>
      </c>
      <c r="L53">
        <v>40.200000000000003</v>
      </c>
      <c r="M53" t="s">
        <v>776</v>
      </c>
      <c r="N53" t="s">
        <v>787</v>
      </c>
      <c r="O53">
        <v>14.01</v>
      </c>
      <c r="P53">
        <v>190.5</v>
      </c>
      <c r="Q53">
        <v>182.3</v>
      </c>
      <c r="R53">
        <v>44.7</v>
      </c>
      <c r="S53">
        <v>164.5</v>
      </c>
      <c r="T53">
        <v>0</v>
      </c>
      <c r="U53" t="s">
        <v>796</v>
      </c>
      <c r="V53">
        <v>11.9</v>
      </c>
      <c r="W53">
        <v>2.13</v>
      </c>
      <c r="X53" t="s">
        <v>804</v>
      </c>
      <c r="Y53">
        <v>86.34</v>
      </c>
      <c r="Z53" t="s">
        <v>811</v>
      </c>
      <c r="AA53">
        <v>37.207163745810668</v>
      </c>
      <c r="AB53">
        <v>36.927756950471732</v>
      </c>
      <c r="AC53">
        <v>37.688362156533834</v>
      </c>
      <c r="AD53">
        <v>39.419251130741074</v>
      </c>
      <c r="AE53">
        <v>26.118101916944745</v>
      </c>
      <c r="AF53">
        <v>26.029859115510781</v>
      </c>
      <c r="AG53">
        <v>40.379027407962084</v>
      </c>
      <c r="AH53">
        <v>5.5188364283154367</v>
      </c>
      <c r="AI53">
        <v>0.23333307699679595</v>
      </c>
      <c r="AJ53">
        <v>0.23333307699679595</v>
      </c>
      <c r="AK53">
        <v>2.7390386691267268E-2</v>
      </c>
      <c r="AL53">
        <v>2.1997856299029697</v>
      </c>
    </row>
    <row r="54" spans="1:38">
      <c r="A54" t="s">
        <v>2</v>
      </c>
      <c r="B54" t="s">
        <v>93</v>
      </c>
      <c r="C54">
        <v>231114</v>
      </c>
      <c r="D54" t="s">
        <v>153</v>
      </c>
      <c r="E54" t="s">
        <v>484</v>
      </c>
      <c r="F54" t="s">
        <v>764</v>
      </c>
      <c r="G54">
        <v>1.45</v>
      </c>
      <c r="H54">
        <v>35.9</v>
      </c>
      <c r="I54">
        <v>18.5</v>
      </c>
      <c r="J54">
        <v>30</v>
      </c>
      <c r="K54">
        <v>9</v>
      </c>
      <c r="L54">
        <v>44.5</v>
      </c>
      <c r="M54" t="s">
        <v>780</v>
      </c>
      <c r="N54" t="s">
        <v>787</v>
      </c>
      <c r="O54">
        <v>11.54</v>
      </c>
      <c r="P54">
        <v>175.9</v>
      </c>
      <c r="Q54">
        <v>177.3</v>
      </c>
      <c r="R54">
        <v>32.1</v>
      </c>
      <c r="S54">
        <v>145.30000000000001</v>
      </c>
      <c r="T54">
        <v>0</v>
      </c>
      <c r="U54" t="s">
        <v>797</v>
      </c>
      <c r="V54">
        <v>11.5</v>
      </c>
      <c r="W54">
        <v>0.05</v>
      </c>
      <c r="X54" t="s">
        <v>805</v>
      </c>
      <c r="Y54">
        <v>82.6</v>
      </c>
      <c r="Z54" t="s">
        <v>811</v>
      </c>
      <c r="AA54">
        <v>33.340886291181192</v>
      </c>
      <c r="AB54">
        <v>30.354278436076072</v>
      </c>
      <c r="AC54">
        <v>33.885702010124781</v>
      </c>
      <c r="AD54">
        <v>34.485447224735609</v>
      </c>
      <c r="AE54">
        <v>23.390540912454689</v>
      </c>
      <c r="AF54">
        <v>23.37629228777557</v>
      </c>
      <c r="AG54">
        <v>36.049243663409051</v>
      </c>
      <c r="AH54">
        <v>4.4323540889602722</v>
      </c>
      <c r="AI54">
        <v>0.14697378879205916</v>
      </c>
      <c r="AJ54">
        <v>0.14697378879205916</v>
      </c>
      <c r="AK54">
        <v>1.8618629986470597E-2</v>
      </c>
      <c r="AL54">
        <v>1.7667182128303491</v>
      </c>
    </row>
    <row r="55" spans="1:38">
      <c r="A55" t="s">
        <v>3</v>
      </c>
      <c r="B55" t="s">
        <v>93</v>
      </c>
      <c r="C55">
        <v>231114</v>
      </c>
      <c r="D55" t="s">
        <v>154</v>
      </c>
      <c r="E55" t="s">
        <v>485</v>
      </c>
      <c r="F55" t="s">
        <v>764</v>
      </c>
      <c r="G55">
        <v>1.45</v>
      </c>
      <c r="H55">
        <v>35.299999999999997</v>
      </c>
      <c r="I55">
        <v>20</v>
      </c>
      <c r="J55">
        <v>28</v>
      </c>
      <c r="K55">
        <v>9</v>
      </c>
      <c r="L55">
        <v>38.5</v>
      </c>
      <c r="M55" t="s">
        <v>778</v>
      </c>
      <c r="N55" t="s">
        <v>787</v>
      </c>
      <c r="O55">
        <v>11.27</v>
      </c>
      <c r="P55">
        <v>179.7</v>
      </c>
      <c r="Q55">
        <v>178.6</v>
      </c>
      <c r="R55">
        <v>33.9</v>
      </c>
      <c r="S55">
        <v>145.19999999999999</v>
      </c>
      <c r="T55">
        <v>0</v>
      </c>
      <c r="U55" t="s">
        <v>796</v>
      </c>
      <c r="V55">
        <v>10.7</v>
      </c>
      <c r="W55">
        <v>0.57999999999999996</v>
      </c>
      <c r="X55" t="s">
        <v>805</v>
      </c>
      <c r="Y55">
        <v>80.8</v>
      </c>
      <c r="Z55" t="s">
        <v>811</v>
      </c>
      <c r="AA55">
        <v>32.940157562762813</v>
      </c>
      <c r="AB55">
        <v>33.049292506736244</v>
      </c>
      <c r="AC55">
        <v>33.211428346043334</v>
      </c>
      <c r="AD55">
        <v>33.619741136719625</v>
      </c>
      <c r="AE55">
        <v>22.105906943127664</v>
      </c>
      <c r="AF55">
        <v>22.655830114478285</v>
      </c>
      <c r="AG55">
        <v>36.000232320270243</v>
      </c>
      <c r="AH55">
        <v>4.3582757476406018</v>
      </c>
      <c r="AI55">
        <v>0.14569728988634018</v>
      </c>
      <c r="AJ55">
        <v>0.14569728988634018</v>
      </c>
      <c r="AK55">
        <v>1.9040367973707454E-2</v>
      </c>
      <c r="AL55">
        <v>1.737190888939034</v>
      </c>
    </row>
    <row r="56" spans="1:38">
      <c r="A56" t="s">
        <v>4</v>
      </c>
      <c r="B56" t="s">
        <v>93</v>
      </c>
      <c r="C56">
        <v>231113</v>
      </c>
      <c r="D56" t="s">
        <v>155</v>
      </c>
      <c r="E56" t="s">
        <v>486</v>
      </c>
      <c r="F56" t="s">
        <v>764</v>
      </c>
      <c r="G56">
        <v>1.5149999999999999</v>
      </c>
      <c r="H56">
        <v>35</v>
      </c>
      <c r="I56">
        <v>18.399999999999999</v>
      </c>
      <c r="J56">
        <v>26.3</v>
      </c>
      <c r="K56">
        <v>9.3000000000000007</v>
      </c>
      <c r="L56">
        <v>38</v>
      </c>
      <c r="M56" t="s">
        <v>785</v>
      </c>
      <c r="N56" t="s">
        <v>787</v>
      </c>
      <c r="O56">
        <v>12.06</v>
      </c>
      <c r="P56">
        <v>176.8</v>
      </c>
      <c r="Q56">
        <v>177.5</v>
      </c>
      <c r="R56">
        <v>35.799999999999997</v>
      </c>
      <c r="S56">
        <v>145.30000000000001</v>
      </c>
      <c r="T56">
        <v>0</v>
      </c>
      <c r="U56" t="s">
        <v>796</v>
      </c>
      <c r="V56">
        <v>11.8</v>
      </c>
      <c r="W56">
        <v>0.23</v>
      </c>
      <c r="X56" t="s">
        <v>805</v>
      </c>
      <c r="Y56">
        <v>82.19</v>
      </c>
      <c r="Z56" t="s">
        <v>811</v>
      </c>
      <c r="AA56">
        <v>0</v>
      </c>
      <c r="AB56">
        <v>33.098540531521337</v>
      </c>
      <c r="AC56">
        <v>34.307622636941964</v>
      </c>
      <c r="AD56">
        <v>34.406629484311573</v>
      </c>
      <c r="AE56">
        <v>23.279560092277016</v>
      </c>
      <c r="AF56">
        <v>23.515416684370159</v>
      </c>
      <c r="AG56">
        <v>32.392165948500654</v>
      </c>
      <c r="AH56">
        <v>4.3212365769807661</v>
      </c>
      <c r="AI56">
        <v>0.15833129063995657</v>
      </c>
      <c r="AJ56">
        <v>0.15833129063995657</v>
      </c>
      <c r="AK56">
        <v>1.529437554363508E-2</v>
      </c>
      <c r="AL56">
        <v>1.7224272269933767</v>
      </c>
    </row>
    <row r="57" spans="1:38">
      <c r="A57" t="s">
        <v>5</v>
      </c>
      <c r="B57" t="s">
        <v>93</v>
      </c>
      <c r="C57">
        <v>231114</v>
      </c>
      <c r="D57" t="s">
        <v>156</v>
      </c>
      <c r="E57" t="s">
        <v>487</v>
      </c>
      <c r="F57" t="s">
        <v>764</v>
      </c>
      <c r="G57">
        <v>1.355</v>
      </c>
      <c r="H57">
        <v>32.1</v>
      </c>
      <c r="I57">
        <v>18</v>
      </c>
      <c r="J57">
        <v>27.1</v>
      </c>
      <c r="K57">
        <v>8.6999999999999993</v>
      </c>
      <c r="L57">
        <v>37.5</v>
      </c>
      <c r="M57" t="s">
        <v>779</v>
      </c>
      <c r="N57" t="s">
        <v>788</v>
      </c>
      <c r="O57">
        <v>10.36</v>
      </c>
      <c r="P57">
        <v>168.1</v>
      </c>
      <c r="Q57">
        <v>170.7</v>
      </c>
      <c r="R57">
        <v>31.5</v>
      </c>
      <c r="S57">
        <v>135.30000000000001</v>
      </c>
      <c r="T57">
        <v>0</v>
      </c>
      <c r="U57" t="s">
        <v>798</v>
      </c>
      <c r="V57">
        <v>11.3</v>
      </c>
      <c r="W57">
        <v>-0.91</v>
      </c>
      <c r="X57" t="s">
        <v>805</v>
      </c>
      <c r="Y57">
        <v>80.489999999999995</v>
      </c>
      <c r="Z57" t="s">
        <v>811</v>
      </c>
      <c r="AA57">
        <v>31.869839451407159</v>
      </c>
      <c r="AB57">
        <v>30.410019454958803</v>
      </c>
      <c r="AC57">
        <v>32.107544717261845</v>
      </c>
      <c r="AD57">
        <v>30.974666934548878</v>
      </c>
      <c r="AE57">
        <v>22.521331389281784</v>
      </c>
      <c r="AF57">
        <v>22.45034516687506</v>
      </c>
      <c r="AG57">
        <v>31.296110770247878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 t="s">
        <v>6</v>
      </c>
      <c r="B58" t="s">
        <v>93</v>
      </c>
      <c r="C58">
        <v>231113</v>
      </c>
      <c r="D58" t="s">
        <v>157</v>
      </c>
      <c r="E58" t="s">
        <v>488</v>
      </c>
      <c r="F58" t="s">
        <v>764</v>
      </c>
      <c r="G58">
        <v>1.46</v>
      </c>
      <c r="H58">
        <v>34</v>
      </c>
      <c r="I58">
        <v>19.3</v>
      </c>
      <c r="J58">
        <v>27.4</v>
      </c>
      <c r="K58">
        <v>8.5</v>
      </c>
      <c r="L58">
        <v>37.299999999999997</v>
      </c>
      <c r="M58" t="s">
        <v>783</v>
      </c>
      <c r="N58" t="s">
        <v>787</v>
      </c>
      <c r="O58">
        <v>11.53</v>
      </c>
      <c r="P58">
        <v>176.1</v>
      </c>
      <c r="Q58">
        <v>176</v>
      </c>
      <c r="R58">
        <v>33.200000000000003</v>
      </c>
      <c r="S58">
        <v>143.5</v>
      </c>
      <c r="T58">
        <v>0</v>
      </c>
      <c r="U58" t="s">
        <v>798</v>
      </c>
      <c r="V58">
        <v>11.2</v>
      </c>
      <c r="W58">
        <v>0.32</v>
      </c>
      <c r="X58" t="s">
        <v>805</v>
      </c>
      <c r="Y58">
        <v>81.489999999999995</v>
      </c>
      <c r="Z58" t="s">
        <v>811</v>
      </c>
      <c r="AA58">
        <v>32.824011825617809</v>
      </c>
      <c r="AB58">
        <v>32.599640549266837</v>
      </c>
      <c r="AC58">
        <v>32.221453527805082</v>
      </c>
      <c r="AD58">
        <v>32.811452976046255</v>
      </c>
      <c r="AE58">
        <v>23.049999795855207</v>
      </c>
      <c r="AF58">
        <v>23.189982727778037</v>
      </c>
      <c r="AG58">
        <v>36.780927346998226</v>
      </c>
      <c r="AH58">
        <v>4.1977726747813158</v>
      </c>
      <c r="AI58">
        <v>0.13928569636459623</v>
      </c>
      <c r="AJ58">
        <v>0.13928569636459623</v>
      </c>
      <c r="AK58">
        <v>1.577981685491742E-2</v>
      </c>
      <c r="AL58">
        <v>1.6732150205078515</v>
      </c>
    </row>
    <row r="59" spans="1:38">
      <c r="A59" t="s">
        <v>7</v>
      </c>
      <c r="B59" t="s">
        <v>93</v>
      </c>
      <c r="C59">
        <v>231113</v>
      </c>
      <c r="D59" t="s">
        <v>158</v>
      </c>
      <c r="E59" t="s">
        <v>489</v>
      </c>
      <c r="F59" t="s">
        <v>764</v>
      </c>
      <c r="G59">
        <v>1.55</v>
      </c>
      <c r="H59">
        <v>45</v>
      </c>
      <c r="I59">
        <v>22</v>
      </c>
      <c r="J59">
        <v>33.5</v>
      </c>
      <c r="K59">
        <v>10.3</v>
      </c>
      <c r="L59">
        <v>51</v>
      </c>
      <c r="M59" t="s">
        <v>780</v>
      </c>
      <c r="N59" t="s">
        <v>787</v>
      </c>
      <c r="O59">
        <v>12.47</v>
      </c>
      <c r="P59">
        <v>180</v>
      </c>
      <c r="Q59">
        <v>178.2</v>
      </c>
      <c r="R59">
        <v>44.4</v>
      </c>
      <c r="S59">
        <v>151.9</v>
      </c>
      <c r="T59">
        <v>0</v>
      </c>
      <c r="U59" t="s">
        <v>796</v>
      </c>
      <c r="V59">
        <v>11.9</v>
      </c>
      <c r="W59">
        <v>0.55000000000000004</v>
      </c>
      <c r="X59" t="s">
        <v>805</v>
      </c>
      <c r="Y59">
        <v>84.39</v>
      </c>
      <c r="Z59" t="s">
        <v>811</v>
      </c>
      <c r="AA59">
        <v>34.080772014891068</v>
      </c>
      <c r="AB59">
        <v>34.738851927228538</v>
      </c>
      <c r="AC59">
        <v>33.862705366317847</v>
      </c>
      <c r="AD59">
        <v>32.609977129228561</v>
      </c>
      <c r="AE59">
        <v>22.896964234297219</v>
      </c>
      <c r="AF59">
        <v>21.938596133184113</v>
      </c>
      <c r="AG59">
        <v>38.452802645078002</v>
      </c>
      <c r="AH59">
        <v>5.5558755989752715</v>
      </c>
      <c r="AI59">
        <v>0.23351972967162798</v>
      </c>
      <c r="AJ59">
        <v>0.23351972967162798</v>
      </c>
      <c r="AK59">
        <v>3.0576882409141169E-2</v>
      </c>
      <c r="AL59">
        <v>2.2145492918486269</v>
      </c>
    </row>
    <row r="60" spans="1:38">
      <c r="A60" t="s">
        <v>8</v>
      </c>
      <c r="B60" t="s">
        <v>93</v>
      </c>
      <c r="C60">
        <v>231114</v>
      </c>
      <c r="D60" t="s">
        <v>159</v>
      </c>
      <c r="E60" t="s">
        <v>490</v>
      </c>
      <c r="F60" t="s">
        <v>764</v>
      </c>
      <c r="G60">
        <v>1.39</v>
      </c>
      <c r="H60">
        <v>35.6</v>
      </c>
      <c r="I60">
        <v>19</v>
      </c>
      <c r="J60">
        <v>29.7</v>
      </c>
      <c r="K60">
        <v>9.1</v>
      </c>
      <c r="L60">
        <v>41.4</v>
      </c>
      <c r="M60" t="s">
        <v>779</v>
      </c>
      <c r="N60" t="s">
        <v>788</v>
      </c>
      <c r="O60">
        <v>10.050000000000001</v>
      </c>
      <c r="P60">
        <v>174</v>
      </c>
      <c r="Q60">
        <v>177.3</v>
      </c>
      <c r="R60">
        <v>34.5</v>
      </c>
      <c r="S60">
        <v>139</v>
      </c>
      <c r="T60">
        <v>0</v>
      </c>
      <c r="U60" t="s">
        <v>799</v>
      </c>
      <c r="V60">
        <v>11</v>
      </c>
      <c r="W60">
        <v>-0.96</v>
      </c>
      <c r="X60" t="s">
        <v>805</v>
      </c>
      <c r="Y60">
        <v>79.89</v>
      </c>
      <c r="Z60" t="s">
        <v>811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 t="s">
        <v>9</v>
      </c>
      <c r="B61" t="s">
        <v>93</v>
      </c>
      <c r="C61">
        <v>231114</v>
      </c>
      <c r="D61" t="s">
        <v>160</v>
      </c>
      <c r="E61" t="s">
        <v>491</v>
      </c>
      <c r="F61" t="s">
        <v>764</v>
      </c>
      <c r="G61">
        <v>1.52</v>
      </c>
      <c r="H61">
        <v>41.1</v>
      </c>
      <c r="I61">
        <v>23.8</v>
      </c>
      <c r="J61">
        <v>29.6</v>
      </c>
      <c r="K61">
        <v>10.199999999999999</v>
      </c>
      <c r="L61">
        <v>42</v>
      </c>
      <c r="M61" t="s">
        <v>778</v>
      </c>
      <c r="N61" t="s">
        <v>787</v>
      </c>
      <c r="O61">
        <v>12.39</v>
      </c>
      <c r="P61">
        <v>181.5</v>
      </c>
      <c r="Q61">
        <v>179.4</v>
      </c>
      <c r="R61">
        <v>42.1</v>
      </c>
      <c r="S61">
        <v>152.80000000000001</v>
      </c>
      <c r="T61">
        <v>0</v>
      </c>
      <c r="U61" t="s">
        <v>796</v>
      </c>
      <c r="V61">
        <v>11.8</v>
      </c>
      <c r="W61">
        <v>0.56999999999999995</v>
      </c>
      <c r="X61" t="s">
        <v>805</v>
      </c>
      <c r="Y61">
        <v>84.19</v>
      </c>
      <c r="Z61" t="s">
        <v>811</v>
      </c>
      <c r="AA61">
        <v>33.671546233516679</v>
      </c>
      <c r="AB61">
        <v>32.563590690599646</v>
      </c>
      <c r="AC61">
        <v>35.666608258291397</v>
      </c>
      <c r="AD61">
        <v>36.257994777587953</v>
      </c>
      <c r="AE61">
        <v>25.289538723111765</v>
      </c>
      <c r="AF61">
        <v>25.883660627390704</v>
      </c>
      <c r="AG61">
        <v>36.067159328275999</v>
      </c>
      <c r="AH61">
        <v>5.0743663803974144</v>
      </c>
      <c r="AI61">
        <v>0.17625708965769271</v>
      </c>
      <c r="AJ61">
        <v>0.17625708965769271</v>
      </c>
      <c r="AK61">
        <v>2.738422123607908E-2</v>
      </c>
      <c r="AL61">
        <v>2.0226216865550795</v>
      </c>
    </row>
    <row r="62" spans="1:38">
      <c r="A62" t="s">
        <v>10</v>
      </c>
      <c r="B62" t="s">
        <v>93</v>
      </c>
      <c r="C62">
        <v>231113</v>
      </c>
      <c r="D62" t="s">
        <v>161</v>
      </c>
      <c r="E62" t="s">
        <v>492</v>
      </c>
      <c r="F62" t="s">
        <v>764</v>
      </c>
      <c r="G62">
        <v>1.5</v>
      </c>
      <c r="H62">
        <v>39</v>
      </c>
      <c r="I62">
        <v>28</v>
      </c>
      <c r="J62">
        <v>29</v>
      </c>
      <c r="K62">
        <v>9.4</v>
      </c>
      <c r="L62">
        <v>39.5</v>
      </c>
      <c r="M62" t="s">
        <v>777</v>
      </c>
      <c r="N62" t="s">
        <v>787</v>
      </c>
      <c r="O62">
        <v>12.33</v>
      </c>
      <c r="P62">
        <v>181.5</v>
      </c>
      <c r="Q62">
        <v>180.3</v>
      </c>
      <c r="R62">
        <v>38.299999999999997</v>
      </c>
      <c r="S62">
        <v>152.1</v>
      </c>
      <c r="T62">
        <v>0</v>
      </c>
      <c r="U62" t="s">
        <v>797</v>
      </c>
      <c r="V62">
        <v>11.5</v>
      </c>
      <c r="W62">
        <v>0.79</v>
      </c>
      <c r="X62" t="s">
        <v>805</v>
      </c>
      <c r="Y62">
        <v>83.8</v>
      </c>
      <c r="Z62" t="s">
        <v>811</v>
      </c>
      <c r="AA62">
        <v>33.509864726621863</v>
      </c>
      <c r="AB62">
        <v>35.972678045541869</v>
      </c>
      <c r="AC62">
        <v>33.212572563690067</v>
      </c>
      <c r="AD62">
        <v>31.459261060596759</v>
      </c>
      <c r="AE62">
        <v>24.82064144797523</v>
      </c>
      <c r="AF62">
        <v>25.567102680092159</v>
      </c>
      <c r="AG62">
        <v>36.843012781265813</v>
      </c>
      <c r="AH62">
        <v>4.8150921857785685</v>
      </c>
      <c r="AI62">
        <v>0.18925365509384984</v>
      </c>
      <c r="AJ62">
        <v>0.18925365509384984</v>
      </c>
      <c r="AK62">
        <v>2.0441751944862599E-2</v>
      </c>
      <c r="AL62">
        <v>1.9192760529354767</v>
      </c>
    </row>
    <row r="63" spans="1:38">
      <c r="A63" t="s">
        <v>11</v>
      </c>
      <c r="B63" t="s">
        <v>93</v>
      </c>
      <c r="C63">
        <v>231114</v>
      </c>
      <c r="D63" t="s">
        <v>162</v>
      </c>
      <c r="E63" t="s">
        <v>493</v>
      </c>
      <c r="F63" t="s">
        <v>764</v>
      </c>
      <c r="G63">
        <v>1.5449999999999999</v>
      </c>
      <c r="H63">
        <v>44.3</v>
      </c>
      <c r="I63">
        <v>19</v>
      </c>
      <c r="J63">
        <v>29.8</v>
      </c>
      <c r="K63">
        <v>9.9</v>
      </c>
      <c r="L63">
        <v>43.3</v>
      </c>
      <c r="M63" t="s">
        <v>781</v>
      </c>
      <c r="N63" t="s">
        <v>787</v>
      </c>
      <c r="O63">
        <v>13.14</v>
      </c>
      <c r="P63">
        <v>181.8</v>
      </c>
      <c r="Q63">
        <v>179.6</v>
      </c>
      <c r="R63">
        <v>42.8</v>
      </c>
      <c r="S63">
        <v>155</v>
      </c>
      <c r="T63">
        <v>0</v>
      </c>
      <c r="U63" t="s">
        <v>796</v>
      </c>
      <c r="V63">
        <v>11.9</v>
      </c>
      <c r="W63">
        <v>1.27</v>
      </c>
      <c r="X63" t="s">
        <v>806</v>
      </c>
      <c r="Y63">
        <v>85.26</v>
      </c>
      <c r="Z63" t="s">
        <v>811</v>
      </c>
      <c r="AA63">
        <v>36.659904177514257</v>
      </c>
      <c r="AB63">
        <v>35.544125324625739</v>
      </c>
      <c r="AC63">
        <v>37.188901930932296</v>
      </c>
      <c r="AD63">
        <v>38.140063956692487</v>
      </c>
      <c r="AE63">
        <v>23.206843852583596</v>
      </c>
      <c r="AF63">
        <v>24.008303298654951</v>
      </c>
      <c r="AG63">
        <v>36.214958414062338</v>
      </c>
      <c r="AH63">
        <v>5.4694508674356559</v>
      </c>
      <c r="AI63">
        <v>0.23450125453923765</v>
      </c>
      <c r="AJ63">
        <v>0.23450125453923765</v>
      </c>
      <c r="AK63">
        <v>2.5088264389500549E-2</v>
      </c>
      <c r="AL63">
        <v>2.1801007473087597</v>
      </c>
    </row>
    <row r="64" spans="1:38">
      <c r="A64" t="s">
        <v>12</v>
      </c>
      <c r="B64" t="s">
        <v>93</v>
      </c>
      <c r="C64">
        <v>231114</v>
      </c>
      <c r="D64" t="s">
        <v>163</v>
      </c>
      <c r="E64" t="s">
        <v>494</v>
      </c>
      <c r="F64" t="s">
        <v>764</v>
      </c>
      <c r="G64">
        <v>1.5049999999999999</v>
      </c>
      <c r="H64">
        <v>35.700000000000003</v>
      </c>
      <c r="I64">
        <v>20.5</v>
      </c>
      <c r="J64">
        <v>28</v>
      </c>
      <c r="K64">
        <v>9</v>
      </c>
      <c r="L64">
        <v>37.5</v>
      </c>
      <c r="M64" t="s">
        <v>783</v>
      </c>
      <c r="N64" t="s">
        <v>788</v>
      </c>
      <c r="O64">
        <v>11.84</v>
      </c>
      <c r="P64">
        <v>181.9</v>
      </c>
      <c r="Q64">
        <v>181.4</v>
      </c>
      <c r="R64">
        <v>35</v>
      </c>
      <c r="S64">
        <v>149.5</v>
      </c>
      <c r="T64">
        <v>0</v>
      </c>
      <c r="U64" t="s">
        <v>798</v>
      </c>
      <c r="V64">
        <v>11.3</v>
      </c>
      <c r="W64">
        <v>0.54</v>
      </c>
      <c r="X64" t="s">
        <v>805</v>
      </c>
      <c r="Y64">
        <v>82.19</v>
      </c>
      <c r="Z64" t="s">
        <v>811</v>
      </c>
      <c r="AA64">
        <v>33.466322172817641</v>
      </c>
      <c r="AB64">
        <v>33.67351924348695</v>
      </c>
      <c r="AC64">
        <v>35.25455376227702</v>
      </c>
      <c r="AD64">
        <v>35.461357481115655</v>
      </c>
      <c r="AE64">
        <v>23.093865276422392</v>
      </c>
      <c r="AF64">
        <v>24.39948603358436</v>
      </c>
      <c r="AG64">
        <v>37.929016928399733</v>
      </c>
      <c r="AH64">
        <v>4.4076613085203826</v>
      </c>
      <c r="AI64">
        <v>0.1580490473078742</v>
      </c>
      <c r="AJ64">
        <v>0.1580490473078742</v>
      </c>
      <c r="AK64">
        <v>1.8897094552519887E-2</v>
      </c>
      <c r="AL64">
        <v>1.7568757715332444</v>
      </c>
    </row>
    <row r="65" spans="1:38">
      <c r="A65" t="s">
        <v>13</v>
      </c>
      <c r="B65" t="s">
        <v>94</v>
      </c>
      <c r="C65">
        <v>231115</v>
      </c>
      <c r="D65" t="s">
        <v>164</v>
      </c>
      <c r="E65" t="s">
        <v>495</v>
      </c>
      <c r="F65" t="s">
        <v>764</v>
      </c>
      <c r="G65">
        <v>1.41</v>
      </c>
      <c r="H65">
        <v>31</v>
      </c>
      <c r="I65">
        <v>18.399999999999999</v>
      </c>
      <c r="J65">
        <v>24.7</v>
      </c>
      <c r="K65">
        <v>8.4</v>
      </c>
      <c r="L65">
        <v>36.9</v>
      </c>
      <c r="M65" t="s">
        <v>782</v>
      </c>
      <c r="N65" t="s">
        <v>788</v>
      </c>
      <c r="O65">
        <v>10.7</v>
      </c>
      <c r="P65">
        <v>173.2</v>
      </c>
      <c r="Q65">
        <v>175</v>
      </c>
      <c r="R65">
        <v>32.6</v>
      </c>
      <c r="S65">
        <v>144</v>
      </c>
      <c r="T65">
        <v>0</v>
      </c>
      <c r="U65" t="s">
        <v>797</v>
      </c>
      <c r="V65">
        <v>12.8</v>
      </c>
      <c r="W65">
        <v>-2.06</v>
      </c>
      <c r="X65" t="s">
        <v>807</v>
      </c>
      <c r="Y65">
        <v>83.14</v>
      </c>
      <c r="Z65" t="s">
        <v>811</v>
      </c>
      <c r="AA65">
        <v>32.738511875518824</v>
      </c>
      <c r="AB65">
        <v>31.857441037298941</v>
      </c>
      <c r="AC65">
        <v>34.171945811480938</v>
      </c>
      <c r="AD65">
        <v>34.794509584238583</v>
      </c>
      <c r="AE65">
        <v>22.909939675109975</v>
      </c>
      <c r="AF65">
        <v>23.31377981135352</v>
      </c>
      <c r="AG65">
        <v>34.37605338417972</v>
      </c>
      <c r="AH65">
        <v>3.8273809681829651</v>
      </c>
      <c r="AI65">
        <v>0.12423351546114715</v>
      </c>
      <c r="AJ65">
        <v>0.12423351546114715</v>
      </c>
      <c r="AK65">
        <v>1.4094216003948678E-2</v>
      </c>
      <c r="AL65">
        <v>1.5255784010512765</v>
      </c>
    </row>
    <row r="66" spans="1:38">
      <c r="A66" t="s">
        <v>15</v>
      </c>
      <c r="B66" t="s">
        <v>94</v>
      </c>
      <c r="C66">
        <v>231115</v>
      </c>
      <c r="D66" t="s">
        <v>165</v>
      </c>
      <c r="E66" t="s">
        <v>496</v>
      </c>
      <c r="F66" t="s">
        <v>764</v>
      </c>
      <c r="G66">
        <v>1.5</v>
      </c>
      <c r="H66">
        <v>44</v>
      </c>
      <c r="I66">
        <v>23.8</v>
      </c>
      <c r="J66">
        <v>30.4</v>
      </c>
      <c r="K66">
        <v>9.6</v>
      </c>
      <c r="L66">
        <v>43.6</v>
      </c>
      <c r="M66" t="s">
        <v>781</v>
      </c>
      <c r="N66" t="s">
        <v>787</v>
      </c>
      <c r="O66">
        <v>12.37</v>
      </c>
      <c r="P66">
        <v>178.1</v>
      </c>
      <c r="Q66">
        <v>178.2</v>
      </c>
      <c r="R66">
        <v>45</v>
      </c>
      <c r="S66">
        <v>152</v>
      </c>
      <c r="T66">
        <v>0</v>
      </c>
      <c r="U66" t="s">
        <v>798</v>
      </c>
      <c r="V66">
        <v>12.4</v>
      </c>
      <c r="W66">
        <v>0.01</v>
      </c>
      <c r="X66" t="s">
        <v>805</v>
      </c>
      <c r="Y66">
        <v>85.35</v>
      </c>
      <c r="Z66" t="s">
        <v>811</v>
      </c>
      <c r="AA66">
        <v>33.05260940823873</v>
      </c>
      <c r="AB66">
        <v>33.28055603698548</v>
      </c>
      <c r="AC66">
        <v>38.103802099796837</v>
      </c>
      <c r="AD66">
        <v>36.872183831517916</v>
      </c>
      <c r="AE66">
        <v>25.230218960403683</v>
      </c>
      <c r="AF66">
        <v>24.622655012213301</v>
      </c>
      <c r="AG66">
        <v>36.043860104005645</v>
      </c>
      <c r="AH66">
        <v>5.4324116967758203</v>
      </c>
      <c r="AI66">
        <v>0.20352696232426029</v>
      </c>
      <c r="AJ66">
        <v>0.20352696232426029</v>
      </c>
      <c r="AK66">
        <v>2.5932105507610173E-2</v>
      </c>
      <c r="AL66">
        <v>2.165337085363102</v>
      </c>
    </row>
    <row r="67" spans="1:38">
      <c r="A67" t="s">
        <v>16</v>
      </c>
      <c r="B67" t="s">
        <v>94</v>
      </c>
      <c r="C67">
        <v>231122</v>
      </c>
      <c r="D67" t="s">
        <v>166</v>
      </c>
      <c r="E67" t="s">
        <v>497</v>
      </c>
      <c r="F67" t="s">
        <v>764</v>
      </c>
      <c r="G67">
        <v>1.667</v>
      </c>
      <c r="H67">
        <v>55</v>
      </c>
      <c r="I67">
        <v>21.6</v>
      </c>
      <c r="J67">
        <v>33.700000000000003</v>
      </c>
      <c r="K67">
        <v>9.1999999999999993</v>
      </c>
      <c r="L67">
        <v>47.4</v>
      </c>
      <c r="M67" t="s">
        <v>781</v>
      </c>
      <c r="N67" t="s">
        <v>787</v>
      </c>
      <c r="O67">
        <v>14.88</v>
      </c>
      <c r="P67">
        <v>184.6</v>
      </c>
      <c r="Q67">
        <v>175.4</v>
      </c>
      <c r="R67">
        <v>55</v>
      </c>
      <c r="S67">
        <v>168</v>
      </c>
      <c r="T67">
        <v>0</v>
      </c>
      <c r="U67" t="s">
        <v>797</v>
      </c>
      <c r="V67">
        <v>12.7</v>
      </c>
      <c r="W67">
        <v>2.15</v>
      </c>
      <c r="X67" t="s">
        <v>804</v>
      </c>
      <c r="Y67">
        <v>91.01</v>
      </c>
      <c r="Z67" t="s">
        <v>812</v>
      </c>
      <c r="AA67">
        <v>35.888824642471761</v>
      </c>
      <c r="AB67">
        <v>37.246148828311128</v>
      </c>
      <c r="AC67">
        <v>40.260929358689516</v>
      </c>
      <c r="AD67">
        <v>39.609029617304408</v>
      </c>
      <c r="AE67">
        <v>24.183763072551166</v>
      </c>
      <c r="AF67">
        <v>24.95144840474223</v>
      </c>
      <c r="AG67">
        <v>44.559027810348844</v>
      </c>
      <c r="AH67">
        <v>6.790514620969776</v>
      </c>
      <c r="AI67">
        <v>0.29558433775197157</v>
      </c>
      <c r="AJ67">
        <v>0.29558433775197157</v>
      </c>
      <c r="AK67">
        <v>3.2662893225905619E-2</v>
      </c>
      <c r="AL67">
        <v>2.7066713567038776</v>
      </c>
    </row>
    <row r="68" spans="1:38">
      <c r="A68" t="s">
        <v>17</v>
      </c>
      <c r="B68" t="s">
        <v>94</v>
      </c>
      <c r="C68">
        <v>231115</v>
      </c>
      <c r="D68" t="s">
        <v>167</v>
      </c>
      <c r="E68" t="s">
        <v>498</v>
      </c>
      <c r="F68" t="s">
        <v>764</v>
      </c>
      <c r="G68">
        <v>1.6</v>
      </c>
      <c r="H68">
        <v>47</v>
      </c>
      <c r="I68">
        <v>22</v>
      </c>
      <c r="J68">
        <v>30.2</v>
      </c>
      <c r="K68">
        <v>9.1</v>
      </c>
      <c r="L68">
        <v>45</v>
      </c>
      <c r="M68" t="s">
        <v>780</v>
      </c>
      <c r="N68" t="s">
        <v>788</v>
      </c>
      <c r="O68">
        <v>14.43</v>
      </c>
      <c r="P68">
        <v>179.9</v>
      </c>
      <c r="Q68">
        <v>174.2</v>
      </c>
      <c r="R68">
        <v>49.7</v>
      </c>
      <c r="S68">
        <v>162.19999999999999</v>
      </c>
      <c r="T68">
        <v>0</v>
      </c>
      <c r="U68" t="s">
        <v>796</v>
      </c>
      <c r="V68">
        <v>12.8</v>
      </c>
      <c r="W68">
        <v>1.64</v>
      </c>
      <c r="X68" t="s">
        <v>806</v>
      </c>
      <c r="Y68">
        <v>90.14</v>
      </c>
      <c r="Z68" t="s">
        <v>812</v>
      </c>
      <c r="AA68">
        <v>36.066395810875797</v>
      </c>
      <c r="AB68">
        <v>36.464900269142767</v>
      </c>
      <c r="AC68">
        <v>39.495229126470413</v>
      </c>
      <c r="AD68">
        <v>38.364082418235476</v>
      </c>
      <c r="AE68">
        <v>24.263939599113833</v>
      </c>
      <c r="AF68">
        <v>24.835462937114823</v>
      </c>
      <c r="AG68">
        <v>39.543993558252645</v>
      </c>
      <c r="AH68">
        <v>5.8028034033741722</v>
      </c>
      <c r="AI68">
        <v>0.23783101551909264</v>
      </c>
      <c r="AJ68">
        <v>0.23783101551909264</v>
      </c>
      <c r="AK68">
        <v>2.0326192380802192E-2</v>
      </c>
      <c r="AL68">
        <v>2.3129737048196772</v>
      </c>
    </row>
    <row r="69" spans="1:38">
      <c r="A69" t="s">
        <v>18</v>
      </c>
      <c r="B69" t="s">
        <v>94</v>
      </c>
      <c r="C69">
        <v>231115</v>
      </c>
      <c r="D69" t="s">
        <v>168</v>
      </c>
      <c r="E69" t="s">
        <v>499</v>
      </c>
      <c r="F69" t="s">
        <v>764</v>
      </c>
      <c r="G69">
        <v>1.5129999999999999</v>
      </c>
      <c r="H69">
        <v>39.5</v>
      </c>
      <c r="I69">
        <v>21</v>
      </c>
      <c r="J69">
        <v>29.4</v>
      </c>
      <c r="K69">
        <v>8.6999999999999993</v>
      </c>
      <c r="L69">
        <v>41.8</v>
      </c>
      <c r="M69" t="s">
        <v>784</v>
      </c>
      <c r="N69" t="s">
        <v>787</v>
      </c>
      <c r="O69">
        <v>12.88</v>
      </c>
      <c r="P69">
        <v>177.8</v>
      </c>
      <c r="Q69">
        <v>176.9</v>
      </c>
      <c r="R69">
        <v>40.6</v>
      </c>
      <c r="S69">
        <v>155</v>
      </c>
      <c r="T69">
        <v>0</v>
      </c>
      <c r="U69" t="s">
        <v>796</v>
      </c>
      <c r="V69">
        <v>12.8</v>
      </c>
      <c r="W69">
        <v>0.06</v>
      </c>
      <c r="X69" t="s">
        <v>805</v>
      </c>
      <c r="Y69">
        <v>87.18</v>
      </c>
      <c r="Z69" t="s">
        <v>811</v>
      </c>
      <c r="AA69">
        <v>34.755893014418255</v>
      </c>
      <c r="AB69">
        <v>35.536241193093346</v>
      </c>
      <c r="AC69">
        <v>36.632392746196302</v>
      </c>
      <c r="AD69">
        <v>34.595255190899358</v>
      </c>
      <c r="AE69">
        <v>22.692892427250676</v>
      </c>
      <c r="AF69">
        <v>22.73584492280769</v>
      </c>
      <c r="AG69">
        <v>37.793912317629818</v>
      </c>
      <c r="AH69">
        <v>4.8768241368782936</v>
      </c>
      <c r="AI69">
        <v>0.18494642332903505</v>
      </c>
      <c r="AJ69">
        <v>0.18494642332903505</v>
      </c>
      <c r="AK69">
        <v>2.1078732672375176E-2</v>
      </c>
      <c r="AL69">
        <v>1.9438821561782391</v>
      </c>
    </row>
    <row r="70" spans="1:38">
      <c r="A70" t="s">
        <v>19</v>
      </c>
      <c r="B70" t="s">
        <v>94</v>
      </c>
      <c r="C70">
        <v>231122</v>
      </c>
      <c r="D70" t="s">
        <v>169</v>
      </c>
      <c r="E70" t="s">
        <v>500</v>
      </c>
      <c r="F70" t="s">
        <v>764</v>
      </c>
      <c r="G70">
        <v>1.6319999999999999</v>
      </c>
      <c r="H70">
        <v>52.9</v>
      </c>
      <c r="I70">
        <v>21.6</v>
      </c>
      <c r="J70">
        <v>31.9</v>
      </c>
      <c r="K70">
        <v>9.6</v>
      </c>
      <c r="L70">
        <v>49.5</v>
      </c>
      <c r="M70" t="s">
        <v>780</v>
      </c>
      <c r="N70" t="s">
        <v>787</v>
      </c>
      <c r="O70">
        <v>14.42</v>
      </c>
      <c r="P70">
        <v>181.8</v>
      </c>
      <c r="Q70">
        <v>176.3</v>
      </c>
      <c r="R70">
        <v>53.7</v>
      </c>
      <c r="S70">
        <v>164</v>
      </c>
      <c r="T70">
        <v>0</v>
      </c>
      <c r="U70" t="s">
        <v>796</v>
      </c>
      <c r="V70">
        <v>12.9</v>
      </c>
      <c r="W70">
        <v>1.5</v>
      </c>
      <c r="X70" t="s">
        <v>806</v>
      </c>
      <c r="Y70">
        <v>90.23</v>
      </c>
      <c r="Z70" t="s">
        <v>812</v>
      </c>
      <c r="AA70">
        <v>39.595010702078469</v>
      </c>
      <c r="AB70">
        <v>36.85554333761722</v>
      </c>
      <c r="AC70">
        <v>39.432154699208702</v>
      </c>
      <c r="AD70">
        <v>40.988943042792123</v>
      </c>
      <c r="AE70">
        <v>25.885758663823271</v>
      </c>
      <c r="AF70">
        <v>26.04539935730109</v>
      </c>
      <c r="AG70">
        <v>39.308634739953604</v>
      </c>
      <c r="AH70">
        <v>6.5312404263509301</v>
      </c>
      <c r="AI70">
        <v>0.3190822674196952</v>
      </c>
      <c r="AJ70">
        <v>0.3190822674196952</v>
      </c>
      <c r="AK70">
        <v>3.1627034978628427E-2</v>
      </c>
      <c r="AL70">
        <v>2.603325723084275</v>
      </c>
    </row>
    <row r="71" spans="1:38">
      <c r="A71" t="s">
        <v>21</v>
      </c>
      <c r="B71" t="s">
        <v>95</v>
      </c>
      <c r="C71">
        <v>231123</v>
      </c>
      <c r="D71" t="s">
        <v>170</v>
      </c>
      <c r="E71" t="s">
        <v>501</v>
      </c>
      <c r="F71" t="s">
        <v>764</v>
      </c>
      <c r="G71">
        <v>1.6945000000000001</v>
      </c>
      <c r="H71">
        <v>52.75</v>
      </c>
      <c r="I71">
        <v>25.05</v>
      </c>
      <c r="J71">
        <v>34.200000000000003</v>
      </c>
      <c r="K71">
        <v>9.6999999999999993</v>
      </c>
      <c r="L71">
        <v>47.7</v>
      </c>
      <c r="M71" t="s">
        <v>778</v>
      </c>
      <c r="N71" t="s">
        <v>787</v>
      </c>
      <c r="O71">
        <v>15.1</v>
      </c>
      <c r="P71">
        <v>182.2</v>
      </c>
      <c r="Q71">
        <v>176.4</v>
      </c>
      <c r="R71">
        <v>51.1</v>
      </c>
      <c r="S71">
        <v>169.1</v>
      </c>
      <c r="T71">
        <v>0</v>
      </c>
      <c r="U71" t="s">
        <v>797</v>
      </c>
      <c r="V71">
        <v>13.6</v>
      </c>
      <c r="W71">
        <v>1.48</v>
      </c>
      <c r="X71" t="s">
        <v>806</v>
      </c>
      <c r="Y71">
        <v>92.79</v>
      </c>
      <c r="Z71" t="s">
        <v>812</v>
      </c>
      <c r="AA71">
        <v>37.704349692945058</v>
      </c>
      <c r="AB71">
        <v>37.710542035075974</v>
      </c>
      <c r="AC71">
        <v>41.555851845479992</v>
      </c>
      <c r="AD71">
        <v>40.784337435907879</v>
      </c>
      <c r="AE71">
        <v>26.464350894905607</v>
      </c>
      <c r="AF71">
        <v>26.812101345532902</v>
      </c>
      <c r="AG71">
        <v>42.973041998316752</v>
      </c>
      <c r="AH71">
        <v>6.5127208410210127</v>
      </c>
      <c r="AI71">
        <v>0.29892122599542037</v>
      </c>
      <c r="AJ71">
        <v>0.29892122599542037</v>
      </c>
      <c r="AK71">
        <v>2.8364741812387417E-2</v>
      </c>
      <c r="AL71">
        <v>2.5959438921114462</v>
      </c>
    </row>
    <row r="72" spans="1:38">
      <c r="A72" t="s">
        <v>22</v>
      </c>
      <c r="B72" t="s">
        <v>95</v>
      </c>
      <c r="C72">
        <v>231120</v>
      </c>
      <c r="D72" t="s">
        <v>171</v>
      </c>
      <c r="E72" t="s">
        <v>502</v>
      </c>
      <c r="F72" t="s">
        <v>764</v>
      </c>
      <c r="G72">
        <v>1.6539999999999999</v>
      </c>
      <c r="H72">
        <v>51</v>
      </c>
      <c r="I72">
        <v>24.9</v>
      </c>
      <c r="J72">
        <v>32.200000000000003</v>
      </c>
      <c r="K72">
        <v>10.1</v>
      </c>
      <c r="L72">
        <v>46.2</v>
      </c>
      <c r="M72" t="s">
        <v>780</v>
      </c>
      <c r="N72" t="s">
        <v>787</v>
      </c>
      <c r="O72">
        <v>14.67</v>
      </c>
      <c r="P72">
        <v>180.8</v>
      </c>
      <c r="Q72">
        <v>173.3</v>
      </c>
      <c r="R72">
        <v>51.8</v>
      </c>
      <c r="S72">
        <v>166.3</v>
      </c>
      <c r="T72">
        <v>0</v>
      </c>
      <c r="U72" t="s">
        <v>796</v>
      </c>
      <c r="V72">
        <v>13.8</v>
      </c>
      <c r="W72">
        <v>0.82</v>
      </c>
      <c r="X72" t="s">
        <v>805</v>
      </c>
      <c r="Y72">
        <v>92</v>
      </c>
      <c r="Z72" t="s">
        <v>812</v>
      </c>
      <c r="AA72">
        <v>36.881862709059789</v>
      </c>
      <c r="AB72">
        <v>41.21767301670674</v>
      </c>
      <c r="AC72">
        <v>42.859031657576125</v>
      </c>
      <c r="AD72">
        <v>39.513970567689441</v>
      </c>
      <c r="AE72">
        <v>26.996289659731239</v>
      </c>
      <c r="AF72">
        <v>25.872806964798919</v>
      </c>
      <c r="AG72">
        <v>39.185204542943886</v>
      </c>
      <c r="AH72">
        <v>6.2966590121719745</v>
      </c>
      <c r="AI72">
        <v>0.31721275577374769</v>
      </c>
      <c r="AJ72">
        <v>0.31721275577374769</v>
      </c>
      <c r="AK72">
        <v>2.5935939934104039E-2</v>
      </c>
      <c r="AL72">
        <v>2.5098225307617774</v>
      </c>
    </row>
    <row r="73" spans="1:38">
      <c r="A73" t="s">
        <v>23</v>
      </c>
      <c r="B73" t="s">
        <v>95</v>
      </c>
      <c r="C73">
        <v>231120</v>
      </c>
      <c r="D73" t="s">
        <v>172</v>
      </c>
      <c r="E73" t="s">
        <v>503</v>
      </c>
      <c r="F73" t="s">
        <v>764</v>
      </c>
      <c r="G73">
        <v>1.784</v>
      </c>
      <c r="H73">
        <v>60.7</v>
      </c>
      <c r="I73">
        <v>23</v>
      </c>
      <c r="J73">
        <v>34.200000000000003</v>
      </c>
      <c r="K73">
        <v>10</v>
      </c>
      <c r="L73">
        <v>44.8</v>
      </c>
      <c r="M73" t="s">
        <v>783</v>
      </c>
      <c r="N73" t="s">
        <v>787</v>
      </c>
      <c r="O73">
        <v>11.36</v>
      </c>
      <c r="P73">
        <v>171.7</v>
      </c>
      <c r="Q73">
        <v>172.9</v>
      </c>
      <c r="R73">
        <v>37</v>
      </c>
      <c r="S73">
        <v>142.69999999999999</v>
      </c>
      <c r="T73">
        <v>0</v>
      </c>
      <c r="U73" t="s">
        <v>799</v>
      </c>
      <c r="V73">
        <v>13</v>
      </c>
      <c r="W73">
        <v>-1.68</v>
      </c>
      <c r="X73" t="s">
        <v>808</v>
      </c>
      <c r="Y73">
        <v>83.11</v>
      </c>
      <c r="Z73" t="s">
        <v>811</v>
      </c>
      <c r="AA73">
        <v>35.610490634669084</v>
      </c>
      <c r="AB73">
        <v>33.996015025833003</v>
      </c>
      <c r="AC73">
        <v>36.857289355013009</v>
      </c>
      <c r="AD73">
        <v>37.671090427725098</v>
      </c>
      <c r="AE73">
        <v>22.614164951987448</v>
      </c>
      <c r="AF73">
        <v>23.270159722186442</v>
      </c>
      <c r="AG73">
        <v>30.528457103768591</v>
      </c>
      <c r="AH73">
        <v>7.4942588635066443</v>
      </c>
      <c r="AI73">
        <v>0.2711408472994466</v>
      </c>
      <c r="AJ73">
        <v>0.2711408472994466</v>
      </c>
      <c r="AK73">
        <v>2.7580828296646511E-2</v>
      </c>
      <c r="AL73">
        <v>2.9871809336713704</v>
      </c>
    </row>
    <row r="74" spans="1:38">
      <c r="A74" t="s">
        <v>24</v>
      </c>
      <c r="B74" t="s">
        <v>95</v>
      </c>
      <c r="C74">
        <v>231123</v>
      </c>
      <c r="D74" t="s">
        <v>173</v>
      </c>
      <c r="E74" t="s">
        <v>504</v>
      </c>
      <c r="F74" t="s">
        <v>764</v>
      </c>
      <c r="G74">
        <v>1.6619999999999999</v>
      </c>
      <c r="H74">
        <v>48.3</v>
      </c>
      <c r="I74">
        <v>25.3</v>
      </c>
      <c r="J74">
        <v>35.4</v>
      </c>
      <c r="K74">
        <v>10</v>
      </c>
      <c r="L74">
        <v>52</v>
      </c>
      <c r="M74" t="s">
        <v>783</v>
      </c>
      <c r="N74" t="s">
        <v>787</v>
      </c>
      <c r="O74">
        <v>14.44</v>
      </c>
      <c r="P74">
        <v>182.7</v>
      </c>
      <c r="Q74">
        <v>0</v>
      </c>
      <c r="R74">
        <v>59</v>
      </c>
      <c r="S74">
        <v>167</v>
      </c>
      <c r="T74">
        <v>0</v>
      </c>
      <c r="U74" t="s">
        <v>797</v>
      </c>
      <c r="V74">
        <v>13.8</v>
      </c>
      <c r="W74">
        <v>0.61</v>
      </c>
      <c r="X74" t="s">
        <v>805</v>
      </c>
      <c r="Y74">
        <v>91.41</v>
      </c>
      <c r="Z74" t="s">
        <v>812</v>
      </c>
      <c r="AA74">
        <v>38.235665522267482</v>
      </c>
      <c r="AB74">
        <v>35.32947020457884</v>
      </c>
      <c r="AC74">
        <v>39.922721286355348</v>
      </c>
      <c r="AD74">
        <v>40.309497907791908</v>
      </c>
      <c r="AE74">
        <v>25.838979519788484</v>
      </c>
      <c r="AF74">
        <v>25.374749377927337</v>
      </c>
      <c r="AG74">
        <v>42.35158014028768</v>
      </c>
      <c r="AH74">
        <v>5.9633064762334582</v>
      </c>
      <c r="AI74">
        <v>0.27902277539286613</v>
      </c>
      <c r="AJ74">
        <v>0.27902277539286613</v>
      </c>
      <c r="AK74">
        <v>3.5404729939685464E-2</v>
      </c>
      <c r="AL74">
        <v>2.3769495732508599</v>
      </c>
    </row>
    <row r="75" spans="1:38">
      <c r="A75" t="s">
        <v>25</v>
      </c>
      <c r="B75" t="s">
        <v>95</v>
      </c>
      <c r="C75">
        <v>231123</v>
      </c>
      <c r="D75" t="s">
        <v>174</v>
      </c>
      <c r="E75" t="s">
        <v>505</v>
      </c>
      <c r="F75" t="s">
        <v>764</v>
      </c>
      <c r="G75">
        <v>1.649</v>
      </c>
      <c r="H75">
        <v>56.9</v>
      </c>
      <c r="I75">
        <v>22.5</v>
      </c>
      <c r="J75">
        <v>35.1</v>
      </c>
      <c r="K75">
        <v>9.3000000000000007</v>
      </c>
      <c r="L75">
        <v>50</v>
      </c>
      <c r="M75" t="s">
        <v>781</v>
      </c>
      <c r="N75" t="s">
        <v>787</v>
      </c>
      <c r="O75">
        <v>15.14</v>
      </c>
      <c r="P75">
        <v>179.6</v>
      </c>
      <c r="Q75">
        <v>172.7</v>
      </c>
      <c r="R75">
        <v>58.3</v>
      </c>
      <c r="S75">
        <v>167.2</v>
      </c>
      <c r="T75">
        <v>0</v>
      </c>
      <c r="U75" t="s">
        <v>796</v>
      </c>
      <c r="V75">
        <v>13.9</v>
      </c>
      <c r="W75">
        <v>1.21</v>
      </c>
      <c r="X75" t="s">
        <v>806</v>
      </c>
      <c r="Y75">
        <v>93.1</v>
      </c>
      <c r="Z75" t="s">
        <v>813</v>
      </c>
      <c r="AA75">
        <v>37.062115768326009</v>
      </c>
      <c r="AB75">
        <v>36.985100214510702</v>
      </c>
      <c r="AC75">
        <v>40.274342263727128</v>
      </c>
      <c r="AD75">
        <v>40.990169007497599</v>
      </c>
      <c r="AE75">
        <v>26.416141960722918</v>
      </c>
      <c r="AF75">
        <v>26.05001269004476</v>
      </c>
      <c r="AG75">
        <v>42.083857090143525</v>
      </c>
      <c r="AH75">
        <v>7.0250960351487324</v>
      </c>
      <c r="AI75">
        <v>0.31145674513911981</v>
      </c>
      <c r="AJ75">
        <v>0.31145674513911981</v>
      </c>
      <c r="AK75">
        <v>2.9607998744527481E-2</v>
      </c>
      <c r="AL75">
        <v>2.8001745490263752</v>
      </c>
    </row>
    <row r="76" spans="1:38">
      <c r="A76" t="s">
        <v>26</v>
      </c>
      <c r="B76" t="s">
        <v>95</v>
      </c>
      <c r="C76">
        <v>231120</v>
      </c>
      <c r="D76" t="s">
        <v>175</v>
      </c>
      <c r="E76" t="s">
        <v>506</v>
      </c>
      <c r="F76" t="s">
        <v>764</v>
      </c>
      <c r="G76">
        <v>1.6879999999999999</v>
      </c>
      <c r="H76">
        <v>58.9</v>
      </c>
      <c r="I76">
        <v>26.5</v>
      </c>
      <c r="J76">
        <v>33.799999999999997</v>
      </c>
      <c r="K76">
        <v>10.5</v>
      </c>
      <c r="L76">
        <v>48.8</v>
      </c>
      <c r="M76" t="s">
        <v>776</v>
      </c>
      <c r="N76" t="s">
        <v>787</v>
      </c>
      <c r="O76">
        <v>14.62</v>
      </c>
      <c r="P76">
        <v>185.3</v>
      </c>
      <c r="Q76">
        <v>179.3</v>
      </c>
      <c r="R76">
        <v>58.7</v>
      </c>
      <c r="S76">
        <v>169.6</v>
      </c>
      <c r="T76">
        <v>0</v>
      </c>
      <c r="U76" t="s">
        <v>797</v>
      </c>
      <c r="V76">
        <v>13.6</v>
      </c>
      <c r="W76">
        <v>0.98</v>
      </c>
      <c r="X76" t="s">
        <v>805</v>
      </c>
      <c r="Y76">
        <v>91.55</v>
      </c>
      <c r="Z76" t="s">
        <v>812</v>
      </c>
      <c r="AA76">
        <v>39.706032652446645</v>
      </c>
      <c r="AB76">
        <v>38.028061807448765</v>
      </c>
      <c r="AC76">
        <v>41.64427795801933</v>
      </c>
      <c r="AD76">
        <v>40.860814243980784</v>
      </c>
      <c r="AE76">
        <v>26.397960712028276</v>
      </c>
      <c r="AF76">
        <v>26.74553290711151</v>
      </c>
      <c r="AG76">
        <v>41.528897106159597</v>
      </c>
      <c r="AH76">
        <v>7.2720238395476331</v>
      </c>
      <c r="AI76">
        <v>0.34064585607632852</v>
      </c>
      <c r="AJ76">
        <v>0.34064585607632852</v>
      </c>
      <c r="AK76">
        <v>3.6937155589454061E-2</v>
      </c>
      <c r="AL76">
        <v>2.8985989619974255</v>
      </c>
    </row>
    <row r="77" spans="1:38">
      <c r="A77" t="s">
        <v>28</v>
      </c>
      <c r="B77" t="s">
        <v>95</v>
      </c>
      <c r="C77">
        <v>231123</v>
      </c>
      <c r="D77" t="s">
        <v>176</v>
      </c>
      <c r="E77" t="s">
        <v>507</v>
      </c>
      <c r="F77" t="s">
        <v>764</v>
      </c>
      <c r="G77">
        <v>1.65</v>
      </c>
      <c r="H77">
        <v>50.3</v>
      </c>
      <c r="I77">
        <v>22.2</v>
      </c>
      <c r="J77">
        <v>32.700000000000003</v>
      </c>
      <c r="K77">
        <v>10.1</v>
      </c>
      <c r="L77">
        <v>46.3</v>
      </c>
      <c r="M77" t="s">
        <v>783</v>
      </c>
      <c r="N77" t="s">
        <v>787</v>
      </c>
      <c r="O77">
        <v>14.78</v>
      </c>
      <c r="P77">
        <v>182.4</v>
      </c>
      <c r="Q77">
        <v>177.1</v>
      </c>
      <c r="R77">
        <v>51.4</v>
      </c>
      <c r="S77">
        <v>166.9</v>
      </c>
      <c r="T77">
        <v>0</v>
      </c>
      <c r="U77" t="s">
        <v>799</v>
      </c>
      <c r="V77">
        <v>13.2</v>
      </c>
      <c r="W77">
        <v>1.61</v>
      </c>
      <c r="X77" t="s">
        <v>806</v>
      </c>
      <c r="Y77">
        <v>91.53</v>
      </c>
      <c r="Z77" t="s">
        <v>812</v>
      </c>
      <c r="AA77">
        <v>40.064475855162208</v>
      </c>
      <c r="AB77">
        <v>37.138534887884724</v>
      </c>
      <c r="AC77">
        <v>42.26027666956891</v>
      </c>
      <c r="AD77">
        <v>43.542575946793789</v>
      </c>
      <c r="AE77">
        <v>24.871737183400242</v>
      </c>
      <c r="AF77">
        <v>24.848480587200907</v>
      </c>
      <c r="AG77">
        <v>39.284423602935377</v>
      </c>
      <c r="AH77">
        <v>6.2102342806323581</v>
      </c>
      <c r="AI77">
        <v>0.28403942744429234</v>
      </c>
      <c r="AJ77">
        <v>0.28403942744429234</v>
      </c>
      <c r="AK77">
        <v>3.6165781659055117E-2</v>
      </c>
      <c r="AL77">
        <v>2.4753739862219097</v>
      </c>
    </row>
    <row r="78" spans="1:38">
      <c r="A78" t="s">
        <v>29</v>
      </c>
      <c r="B78" t="s">
        <v>95</v>
      </c>
      <c r="C78">
        <v>231123</v>
      </c>
      <c r="D78" t="s">
        <v>177</v>
      </c>
      <c r="E78" t="s">
        <v>508</v>
      </c>
      <c r="F78" t="s">
        <v>764</v>
      </c>
      <c r="G78">
        <v>1.625</v>
      </c>
      <c r="H78">
        <v>50.8</v>
      </c>
      <c r="I78">
        <v>22.2</v>
      </c>
      <c r="J78">
        <v>32.1</v>
      </c>
      <c r="K78">
        <v>10.199999999999999</v>
      </c>
      <c r="L78">
        <v>46.2</v>
      </c>
      <c r="M78" t="s">
        <v>780</v>
      </c>
      <c r="N78" t="s">
        <v>787</v>
      </c>
      <c r="O78">
        <v>14.35</v>
      </c>
      <c r="P78">
        <v>180.3</v>
      </c>
      <c r="Q78">
        <v>174.8</v>
      </c>
      <c r="R78">
        <v>51.3</v>
      </c>
      <c r="S78">
        <v>164.3</v>
      </c>
      <c r="T78">
        <v>0</v>
      </c>
      <c r="U78" t="s">
        <v>796</v>
      </c>
      <c r="V78">
        <v>13.8</v>
      </c>
      <c r="W78">
        <v>0.59</v>
      </c>
      <c r="X78" t="s">
        <v>805</v>
      </c>
      <c r="Y78">
        <v>91.13</v>
      </c>
      <c r="Z78" t="s">
        <v>812</v>
      </c>
      <c r="AA78">
        <v>35.613875665973211</v>
      </c>
      <c r="AB78">
        <v>34.320874574814361</v>
      </c>
      <c r="AC78">
        <v>38.618155420769099</v>
      </c>
      <c r="AD78">
        <v>40.530004723393873</v>
      </c>
      <c r="AE78">
        <v>26.556734489072333</v>
      </c>
      <c r="AF78">
        <v>26.666761668681534</v>
      </c>
      <c r="AG78">
        <v>39.358793780101905</v>
      </c>
      <c r="AH78">
        <v>6.2719662317320832</v>
      </c>
      <c r="AI78">
        <v>0.25917972245966936</v>
      </c>
      <c r="AJ78">
        <v>0.25917972245966936</v>
      </c>
      <c r="AK78">
        <v>3.6878326302866006E-2</v>
      </c>
      <c r="AL78">
        <v>2.499980089464672</v>
      </c>
    </row>
    <row r="79" spans="1:38">
      <c r="A79" t="s">
        <v>30</v>
      </c>
      <c r="B79" t="s">
        <v>95</v>
      </c>
      <c r="C79">
        <v>231120</v>
      </c>
      <c r="D79" t="s">
        <v>178</v>
      </c>
      <c r="E79" t="s">
        <v>509</v>
      </c>
      <c r="F79" t="s">
        <v>764</v>
      </c>
      <c r="G79">
        <v>1.784</v>
      </c>
      <c r="H79">
        <v>60.7</v>
      </c>
      <c r="I79">
        <v>23</v>
      </c>
      <c r="J79">
        <v>34.200000000000003</v>
      </c>
      <c r="K79">
        <v>10</v>
      </c>
      <c r="L79">
        <v>44.8</v>
      </c>
      <c r="M79" t="s">
        <v>783</v>
      </c>
      <c r="N79" t="s">
        <v>787</v>
      </c>
      <c r="O79">
        <v>15.96</v>
      </c>
      <c r="P79">
        <v>188.3</v>
      </c>
      <c r="Q79">
        <v>182.7</v>
      </c>
      <c r="R79">
        <v>61.3</v>
      </c>
      <c r="S79">
        <v>179.2</v>
      </c>
      <c r="T79">
        <v>0</v>
      </c>
      <c r="U79" t="s">
        <v>796</v>
      </c>
      <c r="V79">
        <v>13.7</v>
      </c>
      <c r="W79">
        <v>2.27</v>
      </c>
      <c r="X79" t="s">
        <v>804</v>
      </c>
      <c r="Y79">
        <v>95.18</v>
      </c>
      <c r="Z79" t="s">
        <v>813</v>
      </c>
      <c r="AA79">
        <v>39.904723228841775</v>
      </c>
      <c r="AB79">
        <v>39.592436834233354</v>
      </c>
      <c r="AC79">
        <v>46.325496351789461</v>
      </c>
      <c r="AD79">
        <v>46.03759140723092</v>
      </c>
      <c r="AE79">
        <v>25.146925617583044</v>
      </c>
      <c r="AF79">
        <v>25.322610241838294</v>
      </c>
      <c r="AG79">
        <v>42.75426465293183</v>
      </c>
      <c r="AH79">
        <v>7.4942588635066443</v>
      </c>
      <c r="AI79">
        <v>0.40857606401873009</v>
      </c>
      <c r="AJ79">
        <v>0.40857606401873009</v>
      </c>
      <c r="AK79">
        <v>2.8808048843787671E-2</v>
      </c>
      <c r="AL79">
        <v>2.9871809336713704</v>
      </c>
    </row>
    <row r="80" spans="1:38">
      <c r="A80" t="s">
        <v>31</v>
      </c>
      <c r="B80" t="s">
        <v>95</v>
      </c>
      <c r="C80">
        <v>231120</v>
      </c>
      <c r="D80" t="s">
        <v>179</v>
      </c>
      <c r="E80" t="s">
        <v>510</v>
      </c>
      <c r="F80" t="s">
        <v>764</v>
      </c>
      <c r="G80">
        <v>1.7070000000000001</v>
      </c>
      <c r="H80">
        <v>51.8</v>
      </c>
      <c r="I80">
        <v>22</v>
      </c>
      <c r="J80">
        <v>32.5</v>
      </c>
      <c r="K80">
        <v>10.4</v>
      </c>
      <c r="L80">
        <v>44</v>
      </c>
      <c r="M80" t="s">
        <v>781</v>
      </c>
      <c r="N80" t="s">
        <v>787</v>
      </c>
      <c r="O80">
        <v>15.26</v>
      </c>
      <c r="P80">
        <v>184.4</v>
      </c>
      <c r="Q80">
        <v>177.9</v>
      </c>
      <c r="R80">
        <v>52.7</v>
      </c>
      <c r="S80">
        <v>172.1</v>
      </c>
      <c r="T80">
        <v>0</v>
      </c>
      <c r="U80" t="s">
        <v>796</v>
      </c>
      <c r="V80">
        <v>13.7</v>
      </c>
      <c r="W80">
        <v>1.55</v>
      </c>
      <c r="X80" t="s">
        <v>806</v>
      </c>
      <c r="Y80">
        <v>93.36</v>
      </c>
      <c r="Z80" t="s">
        <v>813</v>
      </c>
      <c r="AA80">
        <v>41.175126917347754</v>
      </c>
      <c r="AB80">
        <v>40.205368804883889</v>
      </c>
      <c r="AC80">
        <v>41.986965297739651</v>
      </c>
      <c r="AD80">
        <v>42.46504365345362</v>
      </c>
      <c r="AE80">
        <v>27.608542243887307</v>
      </c>
      <c r="AF80">
        <v>27.89162060426538</v>
      </c>
      <c r="AG80">
        <v>38.894461167491187</v>
      </c>
      <c r="AH80">
        <v>6.3954301339315336</v>
      </c>
      <c r="AI80">
        <v>0.33887509950515904</v>
      </c>
      <c r="AJ80">
        <v>0.33887509950515904</v>
      </c>
      <c r="AK80">
        <v>2.7039809880386064E-2</v>
      </c>
      <c r="AL80">
        <v>2.5491922959501974</v>
      </c>
    </row>
    <row r="81" spans="1:38">
      <c r="A81" t="s">
        <v>32</v>
      </c>
      <c r="B81" t="s">
        <v>96</v>
      </c>
      <c r="C81">
        <v>231117</v>
      </c>
      <c r="D81" t="s">
        <v>180</v>
      </c>
      <c r="E81" t="s">
        <v>511</v>
      </c>
      <c r="F81" t="s">
        <v>764</v>
      </c>
      <c r="G81">
        <v>1.75</v>
      </c>
      <c r="H81">
        <v>57.4</v>
      </c>
      <c r="I81">
        <v>23.5</v>
      </c>
      <c r="J81">
        <v>32.299999999999997</v>
      </c>
      <c r="K81">
        <v>10</v>
      </c>
      <c r="L81">
        <v>45.2</v>
      </c>
      <c r="M81" t="s">
        <v>783</v>
      </c>
      <c r="N81" t="s">
        <v>787</v>
      </c>
      <c r="O81">
        <v>16.37</v>
      </c>
      <c r="P81">
        <v>180</v>
      </c>
      <c r="Q81">
        <v>179</v>
      </c>
      <c r="R81">
        <v>58.9</v>
      </c>
      <c r="S81">
        <v>175.7</v>
      </c>
      <c r="T81">
        <v>0</v>
      </c>
      <c r="U81" t="s">
        <v>798</v>
      </c>
      <c r="V81">
        <v>14.3</v>
      </c>
      <c r="W81">
        <v>2.06</v>
      </c>
      <c r="X81" t="s">
        <v>804</v>
      </c>
      <c r="Y81">
        <v>97.61</v>
      </c>
      <c r="Z81" t="s">
        <v>814</v>
      </c>
      <c r="AA81">
        <v>40.584548482860455</v>
      </c>
      <c r="AB81">
        <v>40.45284996447301</v>
      </c>
      <c r="AC81">
        <v>43.457754277649599</v>
      </c>
      <c r="AD81">
        <v>43.685385386962096</v>
      </c>
      <c r="AE81">
        <v>26.207263789831575</v>
      </c>
      <c r="AF81">
        <v>25.467258747125634</v>
      </c>
      <c r="AG81">
        <v>45.586796463175233</v>
      </c>
      <c r="AH81">
        <v>7.0868279862484576</v>
      </c>
      <c r="AI81">
        <v>0.37524368848532663</v>
      </c>
      <c r="AJ81">
        <v>0.37524368848532663</v>
      </c>
      <c r="AK81">
        <v>3.0951742331510105E-2</v>
      </c>
      <c r="AL81">
        <v>2.8247806522691379</v>
      </c>
    </row>
    <row r="82" spans="1:38">
      <c r="A82" t="s">
        <v>33</v>
      </c>
      <c r="B82" t="s">
        <v>96</v>
      </c>
      <c r="C82">
        <v>231114</v>
      </c>
      <c r="D82" t="s">
        <v>181</v>
      </c>
      <c r="E82" t="s">
        <v>512</v>
      </c>
      <c r="F82" t="s">
        <v>764</v>
      </c>
      <c r="G82">
        <v>1.8049999999999999</v>
      </c>
      <c r="H82">
        <v>84</v>
      </c>
      <c r="I82">
        <v>25.5</v>
      </c>
      <c r="J82">
        <v>35</v>
      </c>
      <c r="K82">
        <v>11</v>
      </c>
      <c r="L82">
        <v>61</v>
      </c>
      <c r="M82" t="s">
        <v>780</v>
      </c>
      <c r="N82" t="s">
        <v>787</v>
      </c>
      <c r="O82">
        <v>17.86</v>
      </c>
      <c r="P82">
        <v>181</v>
      </c>
      <c r="Q82">
        <v>0</v>
      </c>
      <c r="R82">
        <v>86.5</v>
      </c>
      <c r="S82">
        <v>181.1</v>
      </c>
      <c r="T82">
        <v>0</v>
      </c>
      <c r="U82" t="s">
        <v>799</v>
      </c>
      <c r="V82">
        <v>14</v>
      </c>
      <c r="W82">
        <v>3.82</v>
      </c>
      <c r="X82" t="s">
        <v>804</v>
      </c>
      <c r="Y82">
        <v>100.06</v>
      </c>
      <c r="Z82" t="s">
        <v>814</v>
      </c>
      <c r="AA82">
        <v>42.178091904326905</v>
      </c>
      <c r="AB82">
        <v>39.671309142219876</v>
      </c>
      <c r="AC82">
        <v>42.134846413563253</v>
      </c>
      <c r="AD82">
        <v>44.39048665688837</v>
      </c>
      <c r="AE82">
        <v>26.349222728657132</v>
      </c>
      <c r="AF82">
        <v>25.470259768366009</v>
      </c>
      <c r="AG82">
        <v>45.889438060435118</v>
      </c>
      <c r="AH82">
        <v>10.370967784753839</v>
      </c>
      <c r="AI82">
        <v>0.53381192441339598</v>
      </c>
      <c r="AJ82">
        <v>0.53381192441339598</v>
      </c>
      <c r="AK82">
        <v>5.1928311732781784E-2</v>
      </c>
      <c r="AL82">
        <v>4.1338253447841034</v>
      </c>
    </row>
    <row r="83" spans="1:38">
      <c r="A83" t="s">
        <v>34</v>
      </c>
      <c r="B83" t="s">
        <v>96</v>
      </c>
      <c r="C83">
        <v>231117</v>
      </c>
      <c r="D83" t="s">
        <v>182</v>
      </c>
      <c r="E83" t="s">
        <v>513</v>
      </c>
      <c r="F83" t="s">
        <v>764</v>
      </c>
      <c r="G83">
        <v>1.69</v>
      </c>
      <c r="H83">
        <v>64.7</v>
      </c>
      <c r="I83">
        <v>24.3</v>
      </c>
      <c r="J83">
        <v>34.4</v>
      </c>
      <c r="K83">
        <v>10.9</v>
      </c>
      <c r="L83">
        <v>49.8</v>
      </c>
      <c r="M83" t="s">
        <v>783</v>
      </c>
      <c r="N83" t="s">
        <v>787</v>
      </c>
      <c r="O83">
        <v>15.34</v>
      </c>
      <c r="P83">
        <v>175.6</v>
      </c>
      <c r="Q83">
        <v>172.7</v>
      </c>
      <c r="R83">
        <v>65.7</v>
      </c>
      <c r="S83">
        <v>168.3</v>
      </c>
      <c r="T83">
        <v>0</v>
      </c>
      <c r="U83" t="s">
        <v>797</v>
      </c>
      <c r="V83">
        <v>14.6</v>
      </c>
      <c r="W83">
        <v>0.75</v>
      </c>
      <c r="X83" t="s">
        <v>805</v>
      </c>
      <c r="Y83">
        <v>95.84</v>
      </c>
      <c r="Z83" t="s">
        <v>813</v>
      </c>
      <c r="AA83">
        <v>37.559682230288047</v>
      </c>
      <c r="AB83">
        <v>36.87907872262101</v>
      </c>
      <c r="AC83">
        <v>42.519381169724021</v>
      </c>
      <c r="AD83">
        <v>41.5736753286305</v>
      </c>
      <c r="AE83">
        <v>26.356309092302116</v>
      </c>
      <c r="AF83">
        <v>25.91888652677418</v>
      </c>
      <c r="AG83">
        <v>42.194991256194982</v>
      </c>
      <c r="AH83">
        <v>7.9881144723044466</v>
      </c>
      <c r="AI83">
        <v>0.38064644471740566</v>
      </c>
      <c r="AJ83">
        <v>0.38064644471740566</v>
      </c>
      <c r="AK83">
        <v>3.9046048876636145E-2</v>
      </c>
      <c r="AL83">
        <v>3.1840297596134706</v>
      </c>
    </row>
    <row r="84" spans="1:38">
      <c r="A84" t="s">
        <v>35</v>
      </c>
      <c r="B84" t="s">
        <v>96</v>
      </c>
      <c r="C84">
        <v>231114</v>
      </c>
      <c r="D84" t="s">
        <v>183</v>
      </c>
      <c r="E84" t="s">
        <v>514</v>
      </c>
      <c r="F84" t="s">
        <v>764</v>
      </c>
      <c r="G84">
        <v>1.71</v>
      </c>
      <c r="H84">
        <v>57</v>
      </c>
      <c r="I84">
        <v>24</v>
      </c>
      <c r="J84">
        <v>31.5</v>
      </c>
      <c r="K84">
        <v>9.4</v>
      </c>
      <c r="L84">
        <v>49.5</v>
      </c>
      <c r="M84" t="s">
        <v>779</v>
      </c>
      <c r="N84" t="s">
        <v>787</v>
      </c>
      <c r="O84">
        <v>15.76</v>
      </c>
      <c r="P84">
        <v>175.3</v>
      </c>
      <c r="Q84">
        <v>173.5</v>
      </c>
      <c r="R84">
        <v>57.3</v>
      </c>
      <c r="S84">
        <v>170.2</v>
      </c>
      <c r="T84">
        <v>0</v>
      </c>
      <c r="U84" t="s">
        <v>796</v>
      </c>
      <c r="V84">
        <v>14.8</v>
      </c>
      <c r="W84">
        <v>0.93</v>
      </c>
      <c r="X84" t="s">
        <v>805</v>
      </c>
      <c r="Y84">
        <v>97.09</v>
      </c>
      <c r="Z84" t="s">
        <v>814</v>
      </c>
      <c r="AA84">
        <v>37.87541594635104</v>
      </c>
      <c r="AB84">
        <v>39.289662605276682</v>
      </c>
      <c r="AC84">
        <v>41.974855855453271</v>
      </c>
      <c r="AD84">
        <v>40.501092723457063</v>
      </c>
      <c r="AE84">
        <v>25.323624925553936</v>
      </c>
      <c r="AF84">
        <v>24.932584664962164</v>
      </c>
      <c r="AG84">
        <v>41.741481854496371</v>
      </c>
      <c r="AH84">
        <v>7.0374424253686776</v>
      </c>
      <c r="AI84">
        <v>0.35680067922853664</v>
      </c>
      <c r="AJ84">
        <v>0.35680067922853664</v>
      </c>
      <c r="AK84">
        <v>3.0014476885608442E-2</v>
      </c>
      <c r="AL84">
        <v>2.8050957696749279</v>
      </c>
    </row>
    <row r="85" spans="1:38">
      <c r="A85" t="s">
        <v>36</v>
      </c>
      <c r="B85" t="s">
        <v>96</v>
      </c>
      <c r="C85">
        <v>231121</v>
      </c>
      <c r="D85" t="s">
        <v>184</v>
      </c>
      <c r="E85" t="s">
        <v>515</v>
      </c>
      <c r="F85" t="s">
        <v>764</v>
      </c>
      <c r="G85">
        <v>1.7</v>
      </c>
      <c r="H85">
        <v>57</v>
      </c>
      <c r="I85">
        <v>24.2</v>
      </c>
      <c r="J85">
        <v>32.5</v>
      </c>
      <c r="K85">
        <v>9.9</v>
      </c>
      <c r="L85">
        <v>48</v>
      </c>
      <c r="M85" t="s">
        <v>777</v>
      </c>
      <c r="N85" t="s">
        <v>788</v>
      </c>
      <c r="O85">
        <v>15.77</v>
      </c>
      <c r="P85">
        <v>178.2</v>
      </c>
      <c r="Q85">
        <v>175.2</v>
      </c>
      <c r="R85">
        <v>59.2</v>
      </c>
      <c r="S85">
        <v>170.9</v>
      </c>
      <c r="T85">
        <v>0</v>
      </c>
      <c r="U85" t="s">
        <v>799</v>
      </c>
      <c r="V85">
        <v>14.2</v>
      </c>
      <c r="W85">
        <v>1.6</v>
      </c>
      <c r="X85" t="s">
        <v>806</v>
      </c>
      <c r="Y85">
        <v>95.91</v>
      </c>
      <c r="Z85" t="s">
        <v>813</v>
      </c>
      <c r="AA85">
        <v>36.758929084406923</v>
      </c>
      <c r="AB85">
        <v>37.266281724448952</v>
      </c>
      <c r="AC85">
        <v>41.111489922752313</v>
      </c>
      <c r="AD85">
        <v>42.847861833160593</v>
      </c>
      <c r="AE85">
        <v>24.151595545892576</v>
      </c>
      <c r="AF85">
        <v>24.513719604682201</v>
      </c>
      <c r="AG85">
        <v>44.006907919168789</v>
      </c>
      <c r="AH85">
        <v>7.0374424253686776</v>
      </c>
      <c r="AI85">
        <v>0.3145713398584068</v>
      </c>
      <c r="AJ85">
        <v>0.3145713398584068</v>
      </c>
      <c r="AK85">
        <v>4.2288199918241003E-2</v>
      </c>
      <c r="AL85">
        <v>2.8050957696749279</v>
      </c>
    </row>
    <row r="86" spans="1:38">
      <c r="A86" t="s">
        <v>37</v>
      </c>
      <c r="B86" t="s">
        <v>96</v>
      </c>
      <c r="C86">
        <v>231117</v>
      </c>
      <c r="D86" t="s">
        <v>185</v>
      </c>
      <c r="E86" t="s">
        <v>516</v>
      </c>
      <c r="F86" t="s">
        <v>764</v>
      </c>
      <c r="G86">
        <v>1.7</v>
      </c>
      <c r="H86">
        <v>55.1</v>
      </c>
      <c r="I86">
        <v>23</v>
      </c>
      <c r="J86">
        <v>34</v>
      </c>
      <c r="K86">
        <v>9.6999999999999993</v>
      </c>
      <c r="L86">
        <v>48.2</v>
      </c>
      <c r="M86" t="s">
        <v>784</v>
      </c>
      <c r="N86" t="s">
        <v>787</v>
      </c>
      <c r="O86">
        <v>15.54</v>
      </c>
      <c r="P86">
        <v>179.3</v>
      </c>
      <c r="Q86">
        <v>176.1</v>
      </c>
      <c r="R86">
        <v>56.4</v>
      </c>
      <c r="S86">
        <v>171</v>
      </c>
      <c r="T86">
        <v>0</v>
      </c>
      <c r="U86" t="s">
        <v>799</v>
      </c>
      <c r="V86">
        <v>14.1</v>
      </c>
      <c r="W86">
        <v>1.46</v>
      </c>
      <c r="X86" t="s">
        <v>806</v>
      </c>
      <c r="Y86">
        <v>95.37</v>
      </c>
      <c r="Z86" t="s">
        <v>813</v>
      </c>
      <c r="AA86">
        <v>41.198987428053933</v>
      </c>
      <c r="AB86">
        <v>38.379420598872628</v>
      </c>
      <c r="AC86">
        <v>43.566964090578416</v>
      </c>
      <c r="AD86">
        <v>43.707280453290153</v>
      </c>
      <c r="AE86">
        <v>25.056470957235693</v>
      </c>
      <c r="AF86">
        <v>25.088255177495817</v>
      </c>
      <c r="AG86">
        <v>44.496990818953307</v>
      </c>
      <c r="AH86">
        <v>6.8028610111897221</v>
      </c>
      <c r="AI86">
        <v>0.33247216019824011</v>
      </c>
      <c r="AJ86">
        <v>0.33247216019824011</v>
      </c>
      <c r="AK86">
        <v>2.7329231925763416E-2</v>
      </c>
      <c r="AL86">
        <v>2.7115925773524303</v>
      </c>
    </row>
    <row r="87" spans="1:38">
      <c r="A87" t="s">
        <v>38</v>
      </c>
      <c r="B87" t="s">
        <v>96</v>
      </c>
      <c r="C87">
        <v>231121</v>
      </c>
      <c r="D87" t="s">
        <v>186</v>
      </c>
      <c r="E87" t="s">
        <v>517</v>
      </c>
      <c r="F87" t="s">
        <v>764</v>
      </c>
      <c r="G87">
        <v>1.7430000000000001</v>
      </c>
      <c r="H87">
        <v>62.3</v>
      </c>
      <c r="I87">
        <v>24</v>
      </c>
      <c r="J87">
        <v>32.700000000000003</v>
      </c>
      <c r="K87">
        <v>9.5</v>
      </c>
      <c r="L87">
        <v>48</v>
      </c>
      <c r="M87" t="s">
        <v>776</v>
      </c>
      <c r="N87" t="s">
        <v>787</v>
      </c>
      <c r="O87">
        <v>15.75</v>
      </c>
      <c r="P87">
        <v>181.1</v>
      </c>
      <c r="Q87">
        <v>178.3</v>
      </c>
      <c r="R87">
        <v>62.8</v>
      </c>
      <c r="S87">
        <v>174.1</v>
      </c>
      <c r="T87">
        <v>0</v>
      </c>
      <c r="U87" t="s">
        <v>799</v>
      </c>
      <c r="V87">
        <v>14.1</v>
      </c>
      <c r="W87">
        <v>1.61</v>
      </c>
      <c r="X87" t="s">
        <v>806</v>
      </c>
      <c r="Y87">
        <v>96.13</v>
      </c>
      <c r="Z87" t="s">
        <v>813</v>
      </c>
      <c r="AA87">
        <v>40.538745783878788</v>
      </c>
      <c r="AB87">
        <v>41.718979100281963</v>
      </c>
      <c r="AC87">
        <v>45.668599933752546</v>
      </c>
      <c r="AD87">
        <v>44.031120717846477</v>
      </c>
      <c r="AE87">
        <v>25.393166724855469</v>
      </c>
      <c r="AF87">
        <v>26.586292918113124</v>
      </c>
      <c r="AG87">
        <v>41.573474776822692</v>
      </c>
      <c r="AH87">
        <v>7.6918011070257641</v>
      </c>
      <c r="AI87">
        <v>0.41676396542932698</v>
      </c>
      <c r="AJ87">
        <v>0.41676396542932698</v>
      </c>
      <c r="AK87">
        <v>3.2546462808318355E-2</v>
      </c>
      <c r="AL87">
        <v>3.0659204640482103</v>
      </c>
    </row>
    <row r="88" spans="1:38">
      <c r="A88" t="s">
        <v>39</v>
      </c>
      <c r="B88" t="s">
        <v>96</v>
      </c>
      <c r="C88">
        <v>231117</v>
      </c>
      <c r="D88" t="s">
        <v>187</v>
      </c>
      <c r="E88" t="s">
        <v>518</v>
      </c>
      <c r="F88" t="s">
        <v>764</v>
      </c>
      <c r="G88">
        <v>1.76</v>
      </c>
      <c r="H88">
        <v>63.2</v>
      </c>
      <c r="I88">
        <v>24.5</v>
      </c>
      <c r="J88">
        <v>34.799999999999997</v>
      </c>
      <c r="K88">
        <v>9.6</v>
      </c>
      <c r="L88">
        <v>53</v>
      </c>
      <c r="M88" t="s">
        <v>780</v>
      </c>
      <c r="N88" t="s">
        <v>787</v>
      </c>
      <c r="O88">
        <v>16.55</v>
      </c>
      <c r="P88">
        <v>178.3</v>
      </c>
      <c r="Q88">
        <v>179.7</v>
      </c>
      <c r="R88">
        <v>66.7</v>
      </c>
      <c r="S88">
        <v>177.4</v>
      </c>
      <c r="T88">
        <v>0</v>
      </c>
      <c r="U88" t="s">
        <v>797</v>
      </c>
      <c r="V88">
        <v>14.7</v>
      </c>
      <c r="W88">
        <v>1.87</v>
      </c>
      <c r="X88" t="s">
        <v>806</v>
      </c>
      <c r="Y88">
        <v>99.52</v>
      </c>
      <c r="Z88" t="s">
        <v>814</v>
      </c>
      <c r="AA88">
        <v>41.10754455792555</v>
      </c>
      <c r="AB88">
        <v>40.270395948904429</v>
      </c>
      <c r="AC88">
        <v>44.607609931836819</v>
      </c>
      <c r="AD88">
        <v>44.433347190991476</v>
      </c>
      <c r="AE88">
        <v>26.22096571910085</v>
      </c>
      <c r="AF88">
        <v>26.178674157935689</v>
      </c>
      <c r="AG88">
        <v>44.050527875659483</v>
      </c>
      <c r="AH88">
        <v>7.8029186190052702</v>
      </c>
      <c r="AI88">
        <v>0.42337185730262933</v>
      </c>
      <c r="AJ88">
        <v>0.42337185730262933</v>
      </c>
      <c r="AK88">
        <v>3.9374095415336936E-2</v>
      </c>
      <c r="AL88">
        <v>3.1102114498851829</v>
      </c>
    </row>
    <row r="89" spans="1:38">
      <c r="A89" t="s">
        <v>40</v>
      </c>
      <c r="B89" t="s">
        <v>96</v>
      </c>
      <c r="C89">
        <v>231117</v>
      </c>
      <c r="D89" t="s">
        <v>188</v>
      </c>
      <c r="E89" t="s">
        <v>519</v>
      </c>
      <c r="F89" t="s">
        <v>764</v>
      </c>
      <c r="G89">
        <v>1.825</v>
      </c>
      <c r="H89">
        <v>73.2</v>
      </c>
      <c r="I89">
        <v>25.5</v>
      </c>
      <c r="J89">
        <v>36.9</v>
      </c>
      <c r="K89">
        <v>9.6999999999999993</v>
      </c>
      <c r="L89">
        <v>54</v>
      </c>
      <c r="M89" t="s">
        <v>780</v>
      </c>
      <c r="N89" t="s">
        <v>787</v>
      </c>
      <c r="O89">
        <v>17.100000000000001</v>
      </c>
      <c r="P89">
        <v>182</v>
      </c>
      <c r="Q89">
        <v>0</v>
      </c>
      <c r="R89">
        <v>73</v>
      </c>
      <c r="S89">
        <v>182.1</v>
      </c>
      <c r="T89">
        <v>0</v>
      </c>
      <c r="U89" t="s">
        <v>796</v>
      </c>
      <c r="V89">
        <v>14.9</v>
      </c>
      <c r="W89">
        <v>2.23</v>
      </c>
      <c r="X89" t="s">
        <v>804</v>
      </c>
      <c r="Y89">
        <v>100.05</v>
      </c>
      <c r="Z89" t="s">
        <v>814</v>
      </c>
      <c r="AA89">
        <v>38.733006311973114</v>
      </c>
      <c r="AB89">
        <v>39.021509713705584</v>
      </c>
      <c r="AC89">
        <v>44.748353586822972</v>
      </c>
      <c r="AD89">
        <v>44.040197116528859</v>
      </c>
      <c r="AE89">
        <v>28.014935036016595</v>
      </c>
      <c r="AF89">
        <v>27.710286630257787</v>
      </c>
      <c r="AG89">
        <v>47.688482002872092</v>
      </c>
      <c r="AH89">
        <v>9.0375576409997755</v>
      </c>
      <c r="AI89">
        <v>0.433972255157558</v>
      </c>
      <c r="AJ89">
        <v>0.433972255157558</v>
      </c>
      <c r="AK89">
        <v>4.244361764297816E-2</v>
      </c>
      <c r="AL89">
        <v>3.6023335147404336</v>
      </c>
    </row>
    <row r="90" spans="1:38">
      <c r="A90" t="s">
        <v>41</v>
      </c>
      <c r="B90" t="s">
        <v>96</v>
      </c>
      <c r="C90">
        <v>231117</v>
      </c>
      <c r="D90" t="s">
        <v>189</v>
      </c>
      <c r="E90" t="s">
        <v>520</v>
      </c>
      <c r="F90" t="s">
        <v>764</v>
      </c>
      <c r="G90">
        <v>1.7390000000000001</v>
      </c>
      <c r="H90">
        <v>66.400000000000006</v>
      </c>
      <c r="I90">
        <v>25.4</v>
      </c>
      <c r="J90">
        <v>36.5</v>
      </c>
      <c r="K90">
        <v>9.6</v>
      </c>
      <c r="L90">
        <v>52.7</v>
      </c>
      <c r="M90" t="s">
        <v>781</v>
      </c>
      <c r="N90" t="s">
        <v>788</v>
      </c>
      <c r="O90">
        <v>16.36</v>
      </c>
      <c r="P90">
        <v>176.2</v>
      </c>
      <c r="Q90">
        <v>177</v>
      </c>
      <c r="R90">
        <v>67.400000000000006</v>
      </c>
      <c r="S90">
        <v>174.3</v>
      </c>
      <c r="T90">
        <v>0</v>
      </c>
      <c r="U90" t="s">
        <v>796</v>
      </c>
      <c r="V90">
        <v>15</v>
      </c>
      <c r="W90">
        <v>1.39</v>
      </c>
      <c r="X90" t="s">
        <v>806</v>
      </c>
      <c r="Y90">
        <v>98.94</v>
      </c>
      <c r="Z90" t="s">
        <v>814</v>
      </c>
      <c r="AA90">
        <v>40.382505101067892</v>
      </c>
      <c r="AB90">
        <v>39.706817031697099</v>
      </c>
      <c r="AC90">
        <v>40.476766007129207</v>
      </c>
      <c r="AD90">
        <v>40.505656881068958</v>
      </c>
      <c r="AE90">
        <v>25.931254527035492</v>
      </c>
      <c r="AF90">
        <v>25.926533513113537</v>
      </c>
      <c r="AG90">
        <v>44.23488367619823</v>
      </c>
      <c r="AH90">
        <v>8.1980031060435117</v>
      </c>
      <c r="AI90">
        <v>0.41059791991992239</v>
      </c>
      <c r="AJ90">
        <v>0.41059791991992239</v>
      </c>
      <c r="AK90">
        <v>3.5818326448763836E-2</v>
      </c>
      <c r="AL90">
        <v>3.2676905106388632</v>
      </c>
    </row>
    <row r="91" spans="1:38">
      <c r="A91" t="s">
        <v>42</v>
      </c>
      <c r="B91" t="s">
        <v>96</v>
      </c>
      <c r="C91">
        <v>231117</v>
      </c>
      <c r="D91" t="s">
        <v>190</v>
      </c>
      <c r="E91" t="s">
        <v>521</v>
      </c>
      <c r="F91" t="s">
        <v>764</v>
      </c>
      <c r="G91">
        <v>1.56</v>
      </c>
      <c r="H91">
        <v>39.5</v>
      </c>
      <c r="I91">
        <v>20.8</v>
      </c>
      <c r="J91">
        <v>28.9</v>
      </c>
      <c r="K91">
        <v>8.9</v>
      </c>
      <c r="L91">
        <v>42.5</v>
      </c>
      <c r="M91" t="s">
        <v>783</v>
      </c>
      <c r="N91" t="s">
        <v>788</v>
      </c>
      <c r="O91">
        <v>12.76</v>
      </c>
      <c r="P91">
        <v>174.8</v>
      </c>
      <c r="Q91">
        <v>178.4</v>
      </c>
      <c r="R91">
        <v>41.1</v>
      </c>
      <c r="S91">
        <v>155.19999999999999</v>
      </c>
      <c r="T91">
        <v>0</v>
      </c>
      <c r="U91" t="s">
        <v>796</v>
      </c>
      <c r="V91">
        <v>14.8</v>
      </c>
      <c r="W91">
        <v>-2.0299999999999998</v>
      </c>
      <c r="X91" t="s">
        <v>807</v>
      </c>
      <c r="Y91">
        <v>88.79</v>
      </c>
      <c r="Z91" t="s">
        <v>811</v>
      </c>
      <c r="AA91">
        <v>34.858497857065615</v>
      </c>
      <c r="AB91">
        <v>34.990531057016192</v>
      </c>
      <c r="AC91">
        <v>37.565012806387372</v>
      </c>
      <c r="AD91">
        <v>36.864817964474263</v>
      </c>
      <c r="AE91">
        <v>23.823645261678152</v>
      </c>
      <c r="AF91">
        <v>23.515598212960651</v>
      </c>
      <c r="AG91">
        <v>40.204487857413653</v>
      </c>
      <c r="AH91">
        <v>4.8768241368782936</v>
      </c>
      <c r="AI91">
        <v>0.18893734241866997</v>
      </c>
      <c r="AJ91">
        <v>0.18893734241866997</v>
      </c>
      <c r="AK91">
        <v>2.1494240194482896E-2</v>
      </c>
      <c r="AL91">
        <v>1.9438821561782391</v>
      </c>
    </row>
    <row r="92" spans="1:38">
      <c r="A92" t="s">
        <v>43</v>
      </c>
      <c r="B92" t="s">
        <v>96</v>
      </c>
      <c r="C92">
        <v>231117</v>
      </c>
      <c r="D92" t="s">
        <v>191</v>
      </c>
      <c r="E92" t="s">
        <v>522</v>
      </c>
      <c r="F92" t="s">
        <v>764</v>
      </c>
      <c r="G92">
        <v>1.7490000000000001</v>
      </c>
      <c r="H92">
        <v>59.4</v>
      </c>
      <c r="I92">
        <v>25.1</v>
      </c>
      <c r="J92">
        <v>35.1</v>
      </c>
      <c r="K92">
        <v>8.8000000000000007</v>
      </c>
      <c r="L92">
        <v>49.1</v>
      </c>
      <c r="M92" t="s">
        <v>783</v>
      </c>
      <c r="N92" t="s">
        <v>787</v>
      </c>
      <c r="O92">
        <v>15.69</v>
      </c>
      <c r="P92">
        <v>179.1</v>
      </c>
      <c r="Q92">
        <v>177.6</v>
      </c>
      <c r="R92">
        <v>60.4</v>
      </c>
      <c r="S92">
        <v>173.6</v>
      </c>
      <c r="T92">
        <v>0</v>
      </c>
      <c r="U92" t="s">
        <v>796</v>
      </c>
      <c r="V92">
        <v>14.8</v>
      </c>
      <c r="W92">
        <v>0.85</v>
      </c>
      <c r="X92" t="s">
        <v>805</v>
      </c>
      <c r="Y92">
        <v>96.93</v>
      </c>
      <c r="Z92" t="s">
        <v>813</v>
      </c>
      <c r="AA92">
        <v>38.821419915744755</v>
      </c>
      <c r="AB92">
        <v>38.78458803536509</v>
      </c>
      <c r="AC92">
        <v>44.171001162221771</v>
      </c>
      <c r="AD92">
        <v>43.523719114021148</v>
      </c>
      <c r="AE92">
        <v>26.090713213804626</v>
      </c>
      <c r="AF92">
        <v>25.563540173351193</v>
      </c>
      <c r="AG92">
        <v>44.531640346438813</v>
      </c>
      <c r="AH92">
        <v>7.3337557906473583</v>
      </c>
      <c r="AI92">
        <v>0.39994330136993539</v>
      </c>
      <c r="AJ92">
        <v>0.39994330136993539</v>
      </c>
      <c r="AK92">
        <v>3.1317511201285869E-2</v>
      </c>
      <c r="AL92">
        <v>2.9232050652401877</v>
      </c>
    </row>
    <row r="93" spans="1:38">
      <c r="A93" t="s">
        <v>44</v>
      </c>
      <c r="B93" t="s">
        <v>96</v>
      </c>
      <c r="C93">
        <v>231117</v>
      </c>
      <c r="D93" t="s">
        <v>192</v>
      </c>
      <c r="E93" t="s">
        <v>523</v>
      </c>
      <c r="F93" t="s">
        <v>764</v>
      </c>
      <c r="O93">
        <v>15.83</v>
      </c>
      <c r="P93">
        <v>182.6</v>
      </c>
      <c r="Q93">
        <v>180.6</v>
      </c>
      <c r="R93">
        <v>76.2</v>
      </c>
      <c r="S93">
        <v>177.4</v>
      </c>
      <c r="T93">
        <v>0</v>
      </c>
      <c r="U93" t="s">
        <v>796</v>
      </c>
      <c r="V93">
        <v>14.9</v>
      </c>
      <c r="W93">
        <v>0.93</v>
      </c>
      <c r="X93" t="s">
        <v>805</v>
      </c>
      <c r="Y93">
        <v>97.18</v>
      </c>
      <c r="Z93" t="s">
        <v>814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 t="s">
        <v>45</v>
      </c>
      <c r="B94" t="s">
        <v>97</v>
      </c>
      <c r="C94">
        <v>231121</v>
      </c>
      <c r="D94" t="s">
        <v>193</v>
      </c>
      <c r="E94" t="s">
        <v>524</v>
      </c>
      <c r="F94" t="s">
        <v>764</v>
      </c>
      <c r="G94">
        <v>1.91</v>
      </c>
      <c r="H94">
        <v>73.099999999999994</v>
      </c>
      <c r="I94">
        <v>23.6</v>
      </c>
      <c r="J94">
        <v>34.4</v>
      </c>
      <c r="K94">
        <v>10.3</v>
      </c>
      <c r="L94">
        <v>48.7</v>
      </c>
      <c r="M94" t="s">
        <v>776</v>
      </c>
      <c r="N94" t="s">
        <v>787</v>
      </c>
      <c r="O94">
        <v>17.350000000000001</v>
      </c>
      <c r="P94">
        <v>193</v>
      </c>
      <c r="Q94">
        <v>0</v>
      </c>
      <c r="R94">
        <v>75</v>
      </c>
      <c r="S94">
        <v>193</v>
      </c>
      <c r="T94">
        <v>0</v>
      </c>
      <c r="U94" t="s">
        <v>796</v>
      </c>
      <c r="V94">
        <v>16.100000000000001</v>
      </c>
      <c r="W94">
        <v>1.29</v>
      </c>
      <c r="X94" t="s">
        <v>806</v>
      </c>
      <c r="Y94">
        <v>100</v>
      </c>
      <c r="Z94" t="s">
        <v>814</v>
      </c>
      <c r="AA94">
        <v>44.857787142671796</v>
      </c>
      <c r="AB94">
        <v>45.193100266389976</v>
      </c>
      <c r="AC94">
        <v>48.362330064850916</v>
      </c>
      <c r="AD94">
        <v>47.460909726418478</v>
      </c>
      <c r="AE94">
        <v>27.323620373379516</v>
      </c>
      <c r="AF94">
        <v>27.136659014433484</v>
      </c>
      <c r="AG94">
        <v>49.019598726448464</v>
      </c>
      <c r="AH94">
        <v>9.0252112507798294</v>
      </c>
      <c r="AI94">
        <v>0.57007783120753275</v>
      </c>
      <c r="AJ94">
        <v>0.57007783120753275</v>
      </c>
      <c r="AK94">
        <v>5.9114218930146074E-2</v>
      </c>
      <c r="AL94">
        <v>3.5974122940918809</v>
      </c>
    </row>
    <row r="95" spans="1:38">
      <c r="A95" t="s">
        <v>46</v>
      </c>
      <c r="B95" t="s">
        <v>97</v>
      </c>
      <c r="C95">
        <v>231121</v>
      </c>
      <c r="D95" t="s">
        <v>194</v>
      </c>
      <c r="E95" t="s">
        <v>525</v>
      </c>
      <c r="F95" t="s">
        <v>764</v>
      </c>
      <c r="G95">
        <v>1.77</v>
      </c>
      <c r="H95">
        <v>66.7</v>
      </c>
      <c r="I95">
        <v>23</v>
      </c>
      <c r="J95">
        <v>35.299999999999997</v>
      </c>
      <c r="K95">
        <v>9.9</v>
      </c>
      <c r="L95">
        <v>51.8</v>
      </c>
      <c r="M95" t="s">
        <v>781</v>
      </c>
      <c r="N95" t="s">
        <v>787</v>
      </c>
      <c r="O95">
        <v>17.41</v>
      </c>
      <c r="P95">
        <v>177</v>
      </c>
      <c r="Q95">
        <v>0</v>
      </c>
      <c r="R95">
        <v>67</v>
      </c>
      <c r="S95">
        <v>176.9</v>
      </c>
      <c r="T95">
        <v>0</v>
      </c>
      <c r="U95" t="s">
        <v>797</v>
      </c>
      <c r="V95">
        <v>15.58</v>
      </c>
      <c r="W95">
        <v>1.83</v>
      </c>
      <c r="X95" t="s">
        <v>806</v>
      </c>
      <c r="Y95">
        <v>99.94</v>
      </c>
      <c r="Z95" t="s">
        <v>814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 t="s">
        <v>47</v>
      </c>
      <c r="B96" t="s">
        <v>97</v>
      </c>
      <c r="C96">
        <v>231121</v>
      </c>
      <c r="D96" t="s">
        <v>195</v>
      </c>
      <c r="E96" t="s">
        <v>526</v>
      </c>
      <c r="F96" t="s">
        <v>764</v>
      </c>
      <c r="G96">
        <v>1.9</v>
      </c>
      <c r="H96">
        <v>81.3</v>
      </c>
      <c r="I96">
        <v>31.8</v>
      </c>
      <c r="J96">
        <v>42.2</v>
      </c>
      <c r="K96">
        <v>11</v>
      </c>
      <c r="L96">
        <v>59.7</v>
      </c>
      <c r="M96" t="s">
        <v>776</v>
      </c>
      <c r="N96" t="s">
        <v>787</v>
      </c>
      <c r="O96">
        <v>17.04</v>
      </c>
      <c r="P96">
        <v>191</v>
      </c>
      <c r="Q96">
        <v>0</v>
      </c>
      <c r="R96">
        <v>82.2</v>
      </c>
      <c r="S96">
        <v>190.5</v>
      </c>
      <c r="T96">
        <v>0</v>
      </c>
      <c r="U96" t="s">
        <v>796</v>
      </c>
      <c r="V96">
        <v>15.9</v>
      </c>
      <c r="W96">
        <v>1.0900000000000001</v>
      </c>
      <c r="X96" t="s">
        <v>806</v>
      </c>
      <c r="Y96">
        <v>99.74</v>
      </c>
      <c r="Z96" t="s">
        <v>814</v>
      </c>
      <c r="AA96">
        <v>42.691658891076244</v>
      </c>
      <c r="AB96">
        <v>41.912780819487793</v>
      </c>
      <c r="AC96">
        <v>48.472592566351501</v>
      </c>
      <c r="AD96">
        <v>49.205109817032181</v>
      </c>
      <c r="AE96">
        <v>28.449203921908587</v>
      </c>
      <c r="AF96">
        <v>27.804894579519974</v>
      </c>
      <c r="AG96">
        <v>49.349117888840667</v>
      </c>
      <c r="AH96">
        <v>10.037615248815325</v>
      </c>
      <c r="AI96">
        <v>0.52760813121912375</v>
      </c>
      <c r="AJ96">
        <v>0.52760813121912375</v>
      </c>
      <c r="AK96">
        <v>6.6411302147568865E-2</v>
      </c>
      <c r="AL96">
        <v>4.0009523872731867</v>
      </c>
    </row>
    <row r="97" spans="1:38">
      <c r="A97" t="s">
        <v>48</v>
      </c>
      <c r="B97" t="s">
        <v>97</v>
      </c>
      <c r="C97">
        <v>231121</v>
      </c>
      <c r="D97" t="s">
        <v>196</v>
      </c>
      <c r="E97" t="s">
        <v>527</v>
      </c>
      <c r="F97" t="s">
        <v>764</v>
      </c>
      <c r="G97">
        <v>1.6639999999999999</v>
      </c>
      <c r="H97">
        <v>53.2</v>
      </c>
      <c r="I97">
        <v>21.9</v>
      </c>
      <c r="J97">
        <v>32.1</v>
      </c>
      <c r="K97">
        <v>9.6</v>
      </c>
      <c r="L97">
        <v>48.5</v>
      </c>
      <c r="M97" t="s">
        <v>783</v>
      </c>
      <c r="N97" t="s">
        <v>788</v>
      </c>
      <c r="O97">
        <v>15.44</v>
      </c>
      <c r="P97">
        <v>173.1</v>
      </c>
      <c r="Q97">
        <v>169.1</v>
      </c>
      <c r="R97">
        <v>53.5</v>
      </c>
      <c r="S97">
        <v>164.8</v>
      </c>
      <c r="T97">
        <v>0</v>
      </c>
      <c r="U97" t="s">
        <v>796</v>
      </c>
      <c r="V97">
        <v>15.78</v>
      </c>
      <c r="W97">
        <v>-0.34</v>
      </c>
      <c r="X97" t="s">
        <v>805</v>
      </c>
      <c r="Y97">
        <v>95.21</v>
      </c>
      <c r="Z97" t="s">
        <v>813</v>
      </c>
      <c r="AA97">
        <v>35.084886079783914</v>
      </c>
      <c r="AB97">
        <v>35.05632775289714</v>
      </c>
      <c r="AC97">
        <v>39.282949758061513</v>
      </c>
      <c r="AD97">
        <v>41.649440155305257</v>
      </c>
      <c r="AE97">
        <v>25.799119955513543</v>
      </c>
      <c r="AF97">
        <v>25.731892416162196</v>
      </c>
      <c r="AG97">
        <v>43.350387431130009</v>
      </c>
      <c r="AH97">
        <v>6.5682795970107648</v>
      </c>
      <c r="AI97">
        <v>0.27619197678230523</v>
      </c>
      <c r="AJ97">
        <v>0.27619197678230523</v>
      </c>
      <c r="AK97">
        <v>2.7478907152453616E-2</v>
      </c>
      <c r="AL97">
        <v>2.6180893850299327</v>
      </c>
    </row>
    <row r="98" spans="1:38">
      <c r="A98" t="s">
        <v>50</v>
      </c>
      <c r="B98" t="s">
        <v>97</v>
      </c>
      <c r="C98">
        <v>231121</v>
      </c>
      <c r="D98" t="s">
        <v>197</v>
      </c>
      <c r="E98" t="s">
        <v>528</v>
      </c>
      <c r="F98" t="s">
        <v>764</v>
      </c>
      <c r="G98">
        <v>1.764</v>
      </c>
      <c r="H98">
        <v>66.5</v>
      </c>
      <c r="I98">
        <v>22.9</v>
      </c>
      <c r="J98">
        <v>36.299999999999997</v>
      </c>
      <c r="K98">
        <v>9.3000000000000007</v>
      </c>
      <c r="L98">
        <v>48.5</v>
      </c>
      <c r="M98" t="s">
        <v>778</v>
      </c>
      <c r="N98" t="s">
        <v>787</v>
      </c>
      <c r="O98">
        <v>16.739999999999998</v>
      </c>
      <c r="P98">
        <v>177.1</v>
      </c>
      <c r="Q98">
        <v>176.9</v>
      </c>
      <c r="R98">
        <v>67.2</v>
      </c>
      <c r="S98">
        <v>174.7</v>
      </c>
      <c r="T98">
        <v>0</v>
      </c>
      <c r="U98" t="s">
        <v>796</v>
      </c>
      <c r="V98">
        <v>15.86</v>
      </c>
      <c r="W98">
        <v>0.88</v>
      </c>
      <c r="X98" t="s">
        <v>805</v>
      </c>
      <c r="Y98">
        <v>98.66</v>
      </c>
      <c r="Z98" t="s">
        <v>814</v>
      </c>
      <c r="AA98">
        <v>40.985757721674432</v>
      </c>
      <c r="AB98">
        <v>39.783300727580539</v>
      </c>
      <c r="AC98">
        <v>43.620571871597875</v>
      </c>
      <c r="AD98">
        <v>41.19521117954443</v>
      </c>
      <c r="AE98">
        <v>25.182421868378078</v>
      </c>
      <c r="AF98">
        <v>25.176105624393522</v>
      </c>
      <c r="AG98">
        <v>46.170182995390235</v>
      </c>
      <c r="AH98">
        <v>8.210349496263456</v>
      </c>
      <c r="AI98">
        <v>0.4072598349101626</v>
      </c>
      <c r="AJ98">
        <v>0.4072598349101626</v>
      </c>
      <c r="AK98">
        <v>4.0107731924893752E-2</v>
      </c>
      <c r="AL98">
        <v>3.2726117312874154</v>
      </c>
    </row>
    <row r="99" spans="1:38">
      <c r="A99" t="s">
        <v>52</v>
      </c>
      <c r="B99" t="s">
        <v>96</v>
      </c>
      <c r="C99">
        <v>231117</v>
      </c>
      <c r="D99" t="s">
        <v>198</v>
      </c>
      <c r="E99" t="s">
        <v>529</v>
      </c>
      <c r="F99" t="s">
        <v>764</v>
      </c>
      <c r="G99">
        <v>1.758</v>
      </c>
      <c r="H99">
        <v>68.2</v>
      </c>
      <c r="I99">
        <v>26</v>
      </c>
      <c r="J99">
        <v>38.299999999999997</v>
      </c>
      <c r="K99">
        <v>10.6</v>
      </c>
      <c r="L99">
        <v>51.3</v>
      </c>
      <c r="M99" t="s">
        <v>780</v>
      </c>
      <c r="N99" t="s">
        <v>787</v>
      </c>
      <c r="O99">
        <v>15.89</v>
      </c>
      <c r="P99">
        <v>181</v>
      </c>
      <c r="Q99">
        <v>180.6</v>
      </c>
      <c r="R99">
        <v>69.900000000000006</v>
      </c>
      <c r="S99">
        <v>177.1</v>
      </c>
      <c r="T99">
        <v>0</v>
      </c>
      <c r="U99" t="s">
        <v>797</v>
      </c>
      <c r="V99">
        <v>14.7</v>
      </c>
      <c r="W99">
        <v>1.1499999999999999</v>
      </c>
      <c r="X99" t="s">
        <v>806</v>
      </c>
      <c r="Y99">
        <v>97.86</v>
      </c>
      <c r="Z99" t="s">
        <v>814</v>
      </c>
      <c r="AA99">
        <v>39.67380940167844</v>
      </c>
      <c r="AB99">
        <v>39.201653376865913</v>
      </c>
      <c r="AC99">
        <v>43.364585529734676</v>
      </c>
      <c r="AD99">
        <v>42.529169525523677</v>
      </c>
      <c r="AE99">
        <v>26.436748006270609</v>
      </c>
      <c r="AF99">
        <v>27.372619716773045</v>
      </c>
      <c r="AG99">
        <v>43.621519098132012</v>
      </c>
      <c r="AH99">
        <v>8.4202381300025237</v>
      </c>
      <c r="AI99">
        <v>0.4123011176421093</v>
      </c>
      <c r="AJ99">
        <v>0.4123011176421093</v>
      </c>
      <c r="AK99">
        <v>5.0938713033275025E-2</v>
      </c>
      <c r="AL99">
        <v>3.3562724823128085</v>
      </c>
    </row>
    <row r="100" spans="1:38">
      <c r="A100" t="s">
        <v>53</v>
      </c>
      <c r="B100" t="s">
        <v>96</v>
      </c>
      <c r="C100">
        <v>231117</v>
      </c>
      <c r="D100" t="s">
        <v>199</v>
      </c>
      <c r="E100" t="s">
        <v>530</v>
      </c>
      <c r="F100" t="s">
        <v>764</v>
      </c>
      <c r="G100">
        <v>1.748</v>
      </c>
      <c r="H100">
        <v>65</v>
      </c>
      <c r="I100">
        <v>25.8</v>
      </c>
      <c r="J100">
        <v>37.9</v>
      </c>
      <c r="K100">
        <v>9.3000000000000007</v>
      </c>
      <c r="L100">
        <v>54.5</v>
      </c>
      <c r="M100" t="s">
        <v>781</v>
      </c>
      <c r="N100" t="s">
        <v>788</v>
      </c>
      <c r="O100">
        <v>16.809999999999999</v>
      </c>
      <c r="P100">
        <v>176.1</v>
      </c>
      <c r="Q100">
        <v>178.1</v>
      </c>
      <c r="R100">
        <v>70.599999999999994</v>
      </c>
      <c r="S100">
        <v>176</v>
      </c>
      <c r="T100">
        <v>0</v>
      </c>
      <c r="U100" t="s">
        <v>796</v>
      </c>
      <c r="V100">
        <v>14.8</v>
      </c>
      <c r="W100">
        <v>1.98</v>
      </c>
      <c r="X100" t="s">
        <v>806</v>
      </c>
      <c r="Y100">
        <v>99.92</v>
      </c>
      <c r="Z100" t="s">
        <v>814</v>
      </c>
      <c r="AA100">
        <v>38.982202173463158</v>
      </c>
      <c r="AB100">
        <v>38.435901303953536</v>
      </c>
      <c r="AC100">
        <v>43.059976052602707</v>
      </c>
      <c r="AD100">
        <v>41.244450417249283</v>
      </c>
      <c r="AE100">
        <v>25.9127482500155</v>
      </c>
      <c r="AF100">
        <v>26.199921410680712</v>
      </c>
      <c r="AG100">
        <v>47.231124635914895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 t="s">
        <v>54</v>
      </c>
      <c r="B101" t="s">
        <v>95</v>
      </c>
      <c r="C101">
        <v>231120</v>
      </c>
      <c r="D101" t="s">
        <v>200</v>
      </c>
      <c r="E101" t="s">
        <v>531</v>
      </c>
      <c r="F101" t="s">
        <v>764</v>
      </c>
      <c r="G101">
        <v>1.595</v>
      </c>
      <c r="H101">
        <v>42.5</v>
      </c>
      <c r="I101">
        <v>0</v>
      </c>
      <c r="J101">
        <v>30.3</v>
      </c>
      <c r="K101">
        <v>8.6999999999999993</v>
      </c>
      <c r="L101">
        <v>39.700000000000003</v>
      </c>
      <c r="M101" t="s">
        <v>778</v>
      </c>
      <c r="N101" t="s">
        <v>787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800</v>
      </c>
      <c r="V101">
        <v>0</v>
      </c>
      <c r="W101">
        <v>0</v>
      </c>
      <c r="X101" t="s">
        <v>800</v>
      </c>
      <c r="Y101">
        <v>0</v>
      </c>
      <c r="Z101" t="s">
        <v>800</v>
      </c>
      <c r="AA101">
        <v>37.361001236484384</v>
      </c>
      <c r="AB101">
        <v>36.887504450207715</v>
      </c>
      <c r="AC101">
        <v>41.428434191041944</v>
      </c>
      <c r="AD101">
        <v>43.125390731929691</v>
      </c>
      <c r="AE101">
        <v>25.486332677478266</v>
      </c>
      <c r="AF101">
        <v>24.519497981358391</v>
      </c>
      <c r="AG101">
        <v>36.330110885441563</v>
      </c>
      <c r="AH101">
        <v>5.2472158434766447</v>
      </c>
      <c r="AI101">
        <v>0.21929953876632297</v>
      </c>
      <c r="AJ101">
        <v>0.21929953876632297</v>
      </c>
      <c r="AK101">
        <v>1.5013979918146667E-2</v>
      </c>
      <c r="AL101">
        <v>2.0915187756348144</v>
      </c>
    </row>
    <row r="102" spans="1:38">
      <c r="A102" t="s">
        <v>55</v>
      </c>
      <c r="B102" t="s">
        <v>95</v>
      </c>
      <c r="C102">
        <v>231120</v>
      </c>
      <c r="D102" t="s">
        <v>201</v>
      </c>
      <c r="E102" t="s">
        <v>532</v>
      </c>
      <c r="F102" t="s">
        <v>764</v>
      </c>
      <c r="G102">
        <v>1.6819999999999999</v>
      </c>
      <c r="H102">
        <v>51.5</v>
      </c>
      <c r="I102">
        <v>21.9</v>
      </c>
      <c r="J102">
        <v>31.5</v>
      </c>
      <c r="K102">
        <v>9.6999999999999993</v>
      </c>
      <c r="L102">
        <v>44</v>
      </c>
      <c r="M102" t="s">
        <v>777</v>
      </c>
      <c r="N102" t="s">
        <v>788</v>
      </c>
      <c r="O102">
        <v>15.5</v>
      </c>
      <c r="P102">
        <v>181.3</v>
      </c>
      <c r="Q102">
        <v>175.1</v>
      </c>
      <c r="R102">
        <v>52.1</v>
      </c>
      <c r="S102">
        <v>170</v>
      </c>
      <c r="T102">
        <v>0</v>
      </c>
      <c r="U102" t="s">
        <v>796</v>
      </c>
      <c r="V102">
        <v>13.8</v>
      </c>
      <c r="W102">
        <v>1.74</v>
      </c>
      <c r="X102" t="s">
        <v>806</v>
      </c>
      <c r="Y102">
        <v>93.78</v>
      </c>
      <c r="Z102" t="s">
        <v>813</v>
      </c>
      <c r="AA102">
        <v>38.738624641389784</v>
      </c>
      <c r="AB102">
        <v>38.971608741292428</v>
      </c>
      <c r="AC102">
        <v>40.592095969552481</v>
      </c>
      <c r="AD102">
        <v>42.40516084929515</v>
      </c>
      <c r="AE102">
        <v>24.909529896421201</v>
      </c>
      <c r="AF102">
        <v>24.250610165520932</v>
      </c>
      <c r="AG102">
        <v>41.265391650862455</v>
      </c>
      <c r="AH102">
        <v>6.3583909632716997</v>
      </c>
      <c r="AI102">
        <v>0.31069797849034364</v>
      </c>
      <c r="AJ102">
        <v>0.31069797849034364</v>
      </c>
      <c r="AK102">
        <v>2.0753865565417393E-2</v>
      </c>
      <c r="AL102">
        <v>2.5344286340045401</v>
      </c>
    </row>
    <row r="103" spans="1:38">
      <c r="A103" t="s">
        <v>56</v>
      </c>
      <c r="B103" t="s">
        <v>95</v>
      </c>
      <c r="C103">
        <v>231120</v>
      </c>
      <c r="D103" t="s">
        <v>202</v>
      </c>
      <c r="E103" t="s">
        <v>533</v>
      </c>
      <c r="F103" t="s">
        <v>764</v>
      </c>
      <c r="G103">
        <v>1.544</v>
      </c>
      <c r="H103">
        <v>45</v>
      </c>
      <c r="I103">
        <v>22.8</v>
      </c>
      <c r="J103">
        <v>32.700000000000003</v>
      </c>
      <c r="K103">
        <v>9.1999999999999993</v>
      </c>
      <c r="L103">
        <v>43.2</v>
      </c>
      <c r="M103" t="s">
        <v>782</v>
      </c>
      <c r="N103" t="s">
        <v>787</v>
      </c>
      <c r="O103">
        <v>12.13</v>
      </c>
      <c r="P103">
        <v>179.5</v>
      </c>
      <c r="Q103">
        <v>180.8</v>
      </c>
      <c r="R103">
        <v>45.5</v>
      </c>
      <c r="S103">
        <v>154.30000000000001</v>
      </c>
      <c r="T103">
        <v>0</v>
      </c>
      <c r="U103" t="s">
        <v>799</v>
      </c>
      <c r="V103">
        <v>13.2</v>
      </c>
      <c r="W103">
        <v>-1.05</v>
      </c>
      <c r="X103" t="s">
        <v>808</v>
      </c>
      <c r="Y103">
        <v>85.95</v>
      </c>
      <c r="Z103" t="s">
        <v>811</v>
      </c>
      <c r="AA103">
        <v>35.299769922030364</v>
      </c>
      <c r="AB103">
        <v>31.701140756326787</v>
      </c>
      <c r="AC103">
        <v>37.423636974712331</v>
      </c>
      <c r="AD103">
        <v>38.438023221588068</v>
      </c>
      <c r="AE103">
        <v>24.317607817881296</v>
      </c>
      <c r="AF103">
        <v>24.071811236908218</v>
      </c>
      <c r="AG103">
        <v>37.878703914750474</v>
      </c>
      <c r="AH103">
        <v>5.5558755989752715</v>
      </c>
      <c r="AI103">
        <v>0.19608170958853388</v>
      </c>
      <c r="AJ103">
        <v>0.19608170958853388</v>
      </c>
      <c r="AK103">
        <v>2.2794035127261022E-2</v>
      </c>
      <c r="AL103">
        <v>2.2145492918486269</v>
      </c>
    </row>
    <row r="104" spans="1:38">
      <c r="A104" t="s">
        <v>57</v>
      </c>
      <c r="B104" t="s">
        <v>95</v>
      </c>
      <c r="C104">
        <v>231120</v>
      </c>
      <c r="D104" t="s">
        <v>203</v>
      </c>
      <c r="E104" t="s">
        <v>534</v>
      </c>
      <c r="F104" t="s">
        <v>764</v>
      </c>
      <c r="G104">
        <v>1.768</v>
      </c>
      <c r="H104">
        <v>71.2</v>
      </c>
      <c r="I104">
        <v>27.4</v>
      </c>
      <c r="J104">
        <v>37</v>
      </c>
      <c r="K104">
        <v>10.6</v>
      </c>
      <c r="L104">
        <v>52.4</v>
      </c>
      <c r="M104" t="s">
        <v>780</v>
      </c>
      <c r="N104" t="s">
        <v>788</v>
      </c>
      <c r="O104">
        <v>15.34</v>
      </c>
      <c r="P104">
        <v>185</v>
      </c>
      <c r="Q104">
        <v>0</v>
      </c>
      <c r="R104">
        <v>72</v>
      </c>
      <c r="S104">
        <v>176</v>
      </c>
      <c r="T104">
        <v>0</v>
      </c>
      <c r="U104" t="s">
        <v>796</v>
      </c>
      <c r="V104">
        <v>14</v>
      </c>
      <c r="W104">
        <v>1.32</v>
      </c>
      <c r="X104" t="s">
        <v>806</v>
      </c>
      <c r="Y104">
        <v>95.14</v>
      </c>
      <c r="Z104" t="s">
        <v>813</v>
      </c>
      <c r="AA104">
        <v>39.116509326558969</v>
      </c>
      <c r="AB104">
        <v>36.10653532711175</v>
      </c>
      <c r="AC104">
        <v>42.546327081016173</v>
      </c>
      <c r="AD104">
        <v>43.797923672436504</v>
      </c>
      <c r="AE104">
        <v>26.621543801304938</v>
      </c>
      <c r="AF104">
        <v>25.88045796938323</v>
      </c>
      <c r="AG104">
        <v>46.222963427647088</v>
      </c>
      <c r="AH104">
        <v>8.7906298366008748</v>
      </c>
      <c r="AI104">
        <v>0.44712033736713064</v>
      </c>
      <c r="AJ104">
        <v>0.44712033736713064</v>
      </c>
      <c r="AK104">
        <v>4.2286423948793478E-2</v>
      </c>
      <c r="AL104">
        <v>3.5039091017693837</v>
      </c>
    </row>
    <row r="105" spans="1:38">
      <c r="A105" t="s">
        <v>58</v>
      </c>
      <c r="B105" t="s">
        <v>94</v>
      </c>
      <c r="C105">
        <v>231115</v>
      </c>
      <c r="D105" t="s">
        <v>204</v>
      </c>
      <c r="E105" t="s">
        <v>535</v>
      </c>
      <c r="F105" t="s">
        <v>764</v>
      </c>
      <c r="G105">
        <v>1.61</v>
      </c>
      <c r="H105">
        <v>44.9</v>
      </c>
      <c r="I105">
        <v>20</v>
      </c>
      <c r="J105">
        <v>31.3</v>
      </c>
      <c r="K105">
        <v>10.1</v>
      </c>
      <c r="L105">
        <v>44</v>
      </c>
      <c r="M105" t="s">
        <v>781</v>
      </c>
      <c r="N105" t="s">
        <v>787</v>
      </c>
      <c r="O105">
        <v>13.88</v>
      </c>
      <c r="P105">
        <v>182.7</v>
      </c>
      <c r="Q105">
        <v>180.1</v>
      </c>
      <c r="R105">
        <v>45.7</v>
      </c>
      <c r="S105">
        <v>162.6</v>
      </c>
      <c r="T105">
        <v>0</v>
      </c>
      <c r="U105" t="s">
        <v>796</v>
      </c>
      <c r="V105">
        <v>12.9</v>
      </c>
      <c r="W105">
        <v>0.99</v>
      </c>
      <c r="X105" t="s">
        <v>805</v>
      </c>
      <c r="Y105">
        <v>89.02</v>
      </c>
      <c r="Z105" t="s">
        <v>812</v>
      </c>
      <c r="AA105">
        <v>35.097305454892904</v>
      </c>
      <c r="AB105">
        <v>35.367529733790569</v>
      </c>
      <c r="AC105">
        <v>40.747311251425074</v>
      </c>
      <c r="AD105">
        <v>41.641007115650815</v>
      </c>
      <c r="AE105">
        <v>26.736448466846923</v>
      </c>
      <c r="AF105">
        <v>25.294258714429567</v>
      </c>
      <c r="AG105">
        <v>39.151470264298922</v>
      </c>
      <c r="AH105">
        <v>5.5435292087553254</v>
      </c>
      <c r="AI105">
        <v>0.2452194482195047</v>
      </c>
      <c r="AJ105">
        <v>0.2452194482195047</v>
      </c>
      <c r="AK105">
        <v>2.5844110589189537E-2</v>
      </c>
      <c r="AL105">
        <v>2.2096280712000742</v>
      </c>
    </row>
    <row r="106" spans="1:38">
      <c r="A106" t="s">
        <v>59</v>
      </c>
      <c r="B106" t="s">
        <v>94</v>
      </c>
      <c r="C106">
        <v>231122</v>
      </c>
      <c r="D106" t="s">
        <v>205</v>
      </c>
      <c r="E106" t="s">
        <v>536</v>
      </c>
      <c r="F106" t="s">
        <v>764</v>
      </c>
      <c r="G106">
        <v>1.417</v>
      </c>
      <c r="H106">
        <v>36.4</v>
      </c>
      <c r="I106">
        <v>19.399999999999999</v>
      </c>
      <c r="J106">
        <v>29.7</v>
      </c>
      <c r="K106">
        <v>9.1999999999999993</v>
      </c>
      <c r="L106">
        <v>37.700000000000003</v>
      </c>
      <c r="M106" t="s">
        <v>783</v>
      </c>
      <c r="N106" t="s">
        <v>787</v>
      </c>
      <c r="O106">
        <v>11.84</v>
      </c>
      <c r="P106">
        <v>169.8</v>
      </c>
      <c r="Q106">
        <v>172.9</v>
      </c>
      <c r="R106">
        <v>37.700000000000003</v>
      </c>
      <c r="S106">
        <v>143.1</v>
      </c>
      <c r="T106">
        <v>0</v>
      </c>
      <c r="U106" t="s">
        <v>798</v>
      </c>
      <c r="V106">
        <v>12.4</v>
      </c>
      <c r="W106">
        <v>-0.61</v>
      </c>
      <c r="X106" t="s">
        <v>805</v>
      </c>
      <c r="Y106">
        <v>84.3</v>
      </c>
      <c r="Z106" t="s">
        <v>811</v>
      </c>
      <c r="AA106">
        <v>33.990564252577272</v>
      </c>
      <c r="AB106">
        <v>32.578499547762924</v>
      </c>
      <c r="AC106">
        <v>31.837102377272419</v>
      </c>
      <c r="AD106">
        <v>33.968453322891193</v>
      </c>
      <c r="AE106">
        <v>21.491210194899601</v>
      </c>
      <c r="AF106">
        <v>22.001293734495466</v>
      </c>
      <c r="AG106">
        <v>34.347767047772116</v>
      </c>
      <c r="AH106">
        <v>4.4940860400599973</v>
      </c>
      <c r="AI106">
        <v>0.1570428124885983</v>
      </c>
      <c r="AJ106">
        <v>0.1570428124885983</v>
      </c>
      <c r="AK106">
        <v>2.0505489788284963E-2</v>
      </c>
      <c r="AL106">
        <v>1.7913243160731118</v>
      </c>
    </row>
    <row r="107" spans="1:38">
      <c r="A107" t="s">
        <v>60</v>
      </c>
      <c r="B107" t="s">
        <v>94</v>
      </c>
      <c r="C107">
        <v>231122</v>
      </c>
      <c r="D107" t="s">
        <v>206</v>
      </c>
      <c r="E107" t="s">
        <v>537</v>
      </c>
      <c r="F107" t="s">
        <v>764</v>
      </c>
      <c r="G107">
        <v>1.54</v>
      </c>
      <c r="H107">
        <v>39</v>
      </c>
      <c r="I107">
        <v>20.100000000000001</v>
      </c>
      <c r="J107">
        <v>28.3</v>
      </c>
      <c r="K107">
        <v>8.4</v>
      </c>
      <c r="L107">
        <v>36.799999999999997</v>
      </c>
      <c r="M107" t="s">
        <v>782</v>
      </c>
      <c r="N107" t="s">
        <v>787</v>
      </c>
      <c r="O107">
        <v>13.33</v>
      </c>
      <c r="P107">
        <v>177.2</v>
      </c>
      <c r="Q107">
        <v>175.3</v>
      </c>
      <c r="R107">
        <v>40.200000000000003</v>
      </c>
      <c r="S107">
        <v>156.4</v>
      </c>
      <c r="T107">
        <v>0</v>
      </c>
      <c r="U107" t="s">
        <v>796</v>
      </c>
      <c r="V107">
        <v>13</v>
      </c>
      <c r="W107">
        <v>0.32</v>
      </c>
      <c r="X107" t="s">
        <v>805</v>
      </c>
      <c r="Y107">
        <v>88.27</v>
      </c>
      <c r="Z107" t="s">
        <v>811</v>
      </c>
      <c r="AA107">
        <v>34.826447027478714</v>
      </c>
      <c r="AB107">
        <v>33.873922037287926</v>
      </c>
      <c r="AC107">
        <v>35.592242031427297</v>
      </c>
      <c r="AD107">
        <v>35.87967740727013</v>
      </c>
      <c r="AE107">
        <v>24.358988932462484</v>
      </c>
      <c r="AF107">
        <v>24.169265484903345</v>
      </c>
      <c r="AG107">
        <v>37.580616135995051</v>
      </c>
      <c r="AH107">
        <v>4.8150921857785685</v>
      </c>
      <c r="AI107">
        <v>0.19401339056026912</v>
      </c>
      <c r="AJ107">
        <v>0.19401339056026912</v>
      </c>
      <c r="AK107">
        <v>2.1862562622917324E-2</v>
      </c>
      <c r="AL107">
        <v>1.9192760529354767</v>
      </c>
    </row>
    <row r="108" spans="1:38">
      <c r="A108" t="s">
        <v>61</v>
      </c>
      <c r="B108" t="s">
        <v>94</v>
      </c>
      <c r="C108">
        <v>231122</v>
      </c>
      <c r="D108" t="s">
        <v>207</v>
      </c>
      <c r="E108" t="s">
        <v>538</v>
      </c>
      <c r="F108" t="s">
        <v>764</v>
      </c>
      <c r="G108">
        <v>1.65</v>
      </c>
      <c r="H108">
        <v>61</v>
      </c>
      <c r="I108">
        <v>21.2</v>
      </c>
      <c r="J108">
        <v>34.799999999999997</v>
      </c>
      <c r="K108">
        <v>11.3</v>
      </c>
      <c r="L108">
        <v>54.7</v>
      </c>
      <c r="M108" t="s">
        <v>779</v>
      </c>
      <c r="N108" t="s">
        <v>788</v>
      </c>
      <c r="O108">
        <v>13.97</v>
      </c>
      <c r="P108">
        <v>185.8</v>
      </c>
      <c r="Q108">
        <v>180.2</v>
      </c>
      <c r="R108">
        <v>63</v>
      </c>
      <c r="S108">
        <v>167</v>
      </c>
      <c r="T108">
        <v>0</v>
      </c>
      <c r="U108" t="s">
        <v>796</v>
      </c>
      <c r="V108">
        <v>13</v>
      </c>
      <c r="W108">
        <v>0.99</v>
      </c>
      <c r="X108" t="s">
        <v>805</v>
      </c>
      <c r="Y108">
        <v>89.88</v>
      </c>
      <c r="Z108" t="s">
        <v>812</v>
      </c>
      <c r="AA108">
        <v>35.735938718601084</v>
      </c>
      <c r="AB108">
        <v>35.905980746807423</v>
      </c>
      <c r="AC108">
        <v>37.582559459985362</v>
      </c>
      <c r="AD108">
        <v>38.830109901655206</v>
      </c>
      <c r="AE108">
        <v>25.429585245576117</v>
      </c>
      <c r="AF108">
        <v>24.084522033323289</v>
      </c>
      <c r="AG108">
        <v>46.260545764338374</v>
      </c>
      <c r="AH108">
        <v>7.5312980341664799</v>
      </c>
      <c r="AI108">
        <v>0.33927350022046604</v>
      </c>
      <c r="AJ108">
        <v>0.33927350022046604</v>
      </c>
      <c r="AK108">
        <v>4.497125724426191E-2</v>
      </c>
      <c r="AL108">
        <v>3.0019445956170281</v>
      </c>
    </row>
    <row r="109" spans="1:38">
      <c r="A109" t="s">
        <v>62</v>
      </c>
      <c r="B109" t="s">
        <v>96</v>
      </c>
      <c r="C109">
        <v>231121</v>
      </c>
      <c r="D109" t="s">
        <v>208</v>
      </c>
      <c r="E109" t="s">
        <v>539</v>
      </c>
      <c r="F109" t="s">
        <v>764</v>
      </c>
      <c r="G109">
        <v>1.77</v>
      </c>
      <c r="H109">
        <v>63.6</v>
      </c>
      <c r="I109">
        <v>23</v>
      </c>
      <c r="J109">
        <v>33.4</v>
      </c>
      <c r="K109">
        <v>9.5</v>
      </c>
      <c r="L109">
        <v>48.9</v>
      </c>
      <c r="M109" t="s">
        <v>776</v>
      </c>
      <c r="N109" t="s">
        <v>788</v>
      </c>
      <c r="O109">
        <v>16.34</v>
      </c>
      <c r="P109">
        <v>179.1</v>
      </c>
      <c r="Q109">
        <v>180.1</v>
      </c>
      <c r="R109">
        <v>63.8</v>
      </c>
      <c r="S109">
        <v>176.9</v>
      </c>
      <c r="T109">
        <v>0</v>
      </c>
      <c r="U109" t="s">
        <v>796</v>
      </c>
      <c r="V109">
        <v>14.7</v>
      </c>
      <c r="W109">
        <v>1.61</v>
      </c>
      <c r="X109" t="s">
        <v>806</v>
      </c>
      <c r="Y109">
        <v>98.77</v>
      </c>
      <c r="Z109" t="s">
        <v>814</v>
      </c>
      <c r="AA109">
        <v>40.201927736537996</v>
      </c>
      <c r="AB109">
        <v>40.066234499429171</v>
      </c>
      <c r="AC109">
        <v>44.362327986291128</v>
      </c>
      <c r="AD109">
        <v>43.019676779239845</v>
      </c>
      <c r="AE109">
        <v>26.579778370879239</v>
      </c>
      <c r="AF109">
        <v>27.03502596760007</v>
      </c>
      <c r="AG109">
        <v>44.300858020916344</v>
      </c>
      <c r="AH109">
        <v>7.8523041798850501</v>
      </c>
      <c r="AI109">
        <v>0.45004190179992315</v>
      </c>
      <c r="AJ109">
        <v>0.45004190179992315</v>
      </c>
      <c r="AK109">
        <v>4.4366121838068026E-2</v>
      </c>
      <c r="AL109">
        <v>3.1298963324793929</v>
      </c>
    </row>
    <row r="110" spans="1:38">
      <c r="A110" t="s">
        <v>63</v>
      </c>
      <c r="B110" t="s">
        <v>97</v>
      </c>
      <c r="C110">
        <v>231121</v>
      </c>
      <c r="D110" t="s">
        <v>209</v>
      </c>
      <c r="E110" t="s">
        <v>540</v>
      </c>
      <c r="F110" t="s">
        <v>764</v>
      </c>
      <c r="G110">
        <v>1.7350000000000001</v>
      </c>
      <c r="H110">
        <v>65.5</v>
      </c>
      <c r="I110">
        <v>21.9</v>
      </c>
      <c r="J110">
        <v>33.799999999999997</v>
      </c>
      <c r="K110">
        <v>9.6999999999999993</v>
      </c>
      <c r="L110">
        <v>51.8</v>
      </c>
      <c r="M110" t="s">
        <v>779</v>
      </c>
      <c r="N110" t="s">
        <v>787</v>
      </c>
      <c r="O110">
        <v>16.3</v>
      </c>
      <c r="P110">
        <v>177.6</v>
      </c>
      <c r="Q110">
        <v>176.6</v>
      </c>
      <c r="R110">
        <v>67</v>
      </c>
      <c r="S110">
        <v>173.6</v>
      </c>
      <c r="T110">
        <v>0</v>
      </c>
      <c r="U110" t="s">
        <v>796</v>
      </c>
      <c r="V110">
        <v>15.89</v>
      </c>
      <c r="W110">
        <v>0.41</v>
      </c>
      <c r="X110" t="s">
        <v>805</v>
      </c>
      <c r="Y110">
        <v>97.76</v>
      </c>
      <c r="Z110" t="s">
        <v>814</v>
      </c>
      <c r="AA110">
        <v>40.082223509292206</v>
      </c>
      <c r="AB110">
        <v>40.08080543422011</v>
      </c>
      <c r="AC110">
        <v>40.384345983455404</v>
      </c>
      <c r="AD110">
        <v>39.942332909141236</v>
      </c>
      <c r="AE110">
        <v>24.095238458597958</v>
      </c>
      <c r="AF110">
        <v>25.141217339963198</v>
      </c>
      <c r="AG110">
        <v>43.719375346617191</v>
      </c>
      <c r="AH110">
        <v>8.0868855940640056</v>
      </c>
      <c r="AI110">
        <v>0.41743141561941477</v>
      </c>
      <c r="AJ110">
        <v>0.41743141561941477</v>
      </c>
      <c r="AK110">
        <v>3.2220860257846935E-2</v>
      </c>
      <c r="AL110">
        <v>3.2233995248018905</v>
      </c>
    </row>
    <row r="111" spans="1:38">
      <c r="A111" t="s">
        <v>64</v>
      </c>
      <c r="B111" t="s">
        <v>97</v>
      </c>
      <c r="C111">
        <v>231121</v>
      </c>
      <c r="D111" t="s">
        <v>210</v>
      </c>
      <c r="E111" t="s">
        <v>541</v>
      </c>
      <c r="F111" t="s">
        <v>764</v>
      </c>
      <c r="G111">
        <v>1.68</v>
      </c>
      <c r="H111">
        <v>49.8</v>
      </c>
      <c r="I111">
        <v>22.5</v>
      </c>
      <c r="J111">
        <v>32.799999999999997</v>
      </c>
      <c r="K111">
        <v>8.6999999999999993</v>
      </c>
      <c r="L111">
        <v>45.1</v>
      </c>
      <c r="M111" t="s">
        <v>782</v>
      </c>
      <c r="N111" t="s">
        <v>787</v>
      </c>
      <c r="O111">
        <v>13.81</v>
      </c>
      <c r="P111">
        <v>180</v>
      </c>
      <c r="Q111">
        <v>182.2</v>
      </c>
      <c r="R111">
        <v>50.3</v>
      </c>
      <c r="S111">
        <v>160.6</v>
      </c>
      <c r="T111">
        <v>0</v>
      </c>
      <c r="U111" t="s">
        <v>796</v>
      </c>
      <c r="V111">
        <v>15.8</v>
      </c>
      <c r="W111">
        <v>-1.99</v>
      </c>
      <c r="X111" t="s">
        <v>808</v>
      </c>
      <c r="Y111">
        <v>89.22</v>
      </c>
      <c r="Z111" t="s">
        <v>812</v>
      </c>
      <c r="AA111">
        <v>35.689321086589857</v>
      </c>
      <c r="AB111">
        <v>33.144762515220727</v>
      </c>
      <c r="AC111">
        <v>39.885118558298998</v>
      </c>
      <c r="AD111">
        <v>41.392170895923009</v>
      </c>
      <c r="AE111">
        <v>0</v>
      </c>
      <c r="AF111">
        <v>0</v>
      </c>
      <c r="AG111">
        <v>39.860363146809895</v>
      </c>
      <c r="AH111">
        <v>6.1485023295326338</v>
      </c>
      <c r="AI111">
        <v>0.23094248888353075</v>
      </c>
      <c r="AJ111">
        <v>0.23094248888353075</v>
      </c>
      <c r="AK111">
        <v>2.2028172135730738E-2</v>
      </c>
      <c r="AL111">
        <v>2.4507678829791475</v>
      </c>
    </row>
    <row r="112" spans="1:38">
      <c r="A112" t="s">
        <v>65</v>
      </c>
      <c r="B112" t="s">
        <v>97</v>
      </c>
      <c r="C112">
        <v>231121</v>
      </c>
      <c r="D112" t="s">
        <v>211</v>
      </c>
      <c r="E112" t="s">
        <v>542</v>
      </c>
      <c r="F112" t="s">
        <v>764</v>
      </c>
      <c r="G112">
        <v>1.9</v>
      </c>
      <c r="H112">
        <v>82.7</v>
      </c>
      <c r="I112">
        <v>23</v>
      </c>
      <c r="J112">
        <v>37.200000000000003</v>
      </c>
      <c r="K112">
        <v>9.6999999999999993</v>
      </c>
      <c r="L112">
        <v>58.1</v>
      </c>
      <c r="M112" t="s">
        <v>780</v>
      </c>
      <c r="N112" t="s">
        <v>788</v>
      </c>
      <c r="O112">
        <v>17.57</v>
      </c>
      <c r="P112">
        <v>191</v>
      </c>
      <c r="Q112">
        <v>0</v>
      </c>
      <c r="R112">
        <v>82.2</v>
      </c>
      <c r="S112">
        <v>191</v>
      </c>
      <c r="T112">
        <v>0</v>
      </c>
      <c r="U112" t="s">
        <v>796</v>
      </c>
      <c r="V112">
        <v>15.9</v>
      </c>
      <c r="W112">
        <v>1.66</v>
      </c>
      <c r="X112" t="s">
        <v>806</v>
      </c>
      <c r="Y112">
        <v>100</v>
      </c>
      <c r="Z112" t="s">
        <v>814</v>
      </c>
      <c r="AA112">
        <v>45.988195195273839</v>
      </c>
      <c r="AB112">
        <v>45.698820914562667</v>
      </c>
      <c r="AC112">
        <v>48.143615508259295</v>
      </c>
      <c r="AD112">
        <v>47.40016016682074</v>
      </c>
      <c r="AE112">
        <v>27.241284648237489</v>
      </c>
      <c r="AF112">
        <v>28.451814207099581</v>
      </c>
      <c r="AG112">
        <v>48.545348191733993</v>
      </c>
      <c r="AH112">
        <v>10.210464711894554</v>
      </c>
      <c r="AI112">
        <v>0.69251778865040436</v>
      </c>
      <c r="AJ112">
        <v>0.69251778865040436</v>
      </c>
      <c r="AK112">
        <v>5.4024980788978105E-2</v>
      </c>
      <c r="AL112">
        <v>4.0698494763529212</v>
      </c>
    </row>
    <row r="113" spans="1:38">
      <c r="A113" t="s">
        <v>66</v>
      </c>
      <c r="B113" t="s">
        <v>97</v>
      </c>
      <c r="C113">
        <v>231121</v>
      </c>
      <c r="D113" t="s">
        <v>212</v>
      </c>
      <c r="E113" t="s">
        <v>543</v>
      </c>
      <c r="F113" t="s">
        <v>764</v>
      </c>
      <c r="G113">
        <v>1.64</v>
      </c>
      <c r="H113">
        <v>60.2</v>
      </c>
      <c r="I113">
        <v>22.3</v>
      </c>
      <c r="J113">
        <v>36.700000000000003</v>
      </c>
      <c r="K113">
        <v>9.3000000000000007</v>
      </c>
      <c r="L113">
        <v>52</v>
      </c>
      <c r="M113" t="s">
        <v>778</v>
      </c>
      <c r="N113" t="s">
        <v>787</v>
      </c>
      <c r="O113">
        <v>15.35</v>
      </c>
      <c r="P113">
        <v>172.7</v>
      </c>
      <c r="Q113">
        <v>167.5</v>
      </c>
      <c r="R113">
        <v>60.9</v>
      </c>
      <c r="S113">
        <v>163.30000000000001</v>
      </c>
      <c r="T113">
        <v>0</v>
      </c>
      <c r="U113" t="s">
        <v>798</v>
      </c>
      <c r="V113">
        <v>15.3</v>
      </c>
      <c r="W113">
        <v>0.04</v>
      </c>
      <c r="X113" t="s">
        <v>805</v>
      </c>
      <c r="Y113">
        <v>94.56</v>
      </c>
      <c r="Z113" t="s">
        <v>813</v>
      </c>
      <c r="AA113">
        <v>37.733923652058948</v>
      </c>
      <c r="AB113">
        <v>37.709505726703604</v>
      </c>
      <c r="AC113">
        <v>40.068172890144623</v>
      </c>
      <c r="AD113">
        <v>38.88052924588866</v>
      </c>
      <c r="AE113">
        <v>25.123877010147627</v>
      </c>
      <c r="AF113">
        <v>25.018262106524261</v>
      </c>
      <c r="AG113">
        <v>39.142405550687549</v>
      </c>
      <c r="AH113">
        <v>7.4325269124069191</v>
      </c>
      <c r="AI113">
        <v>0.35400946159107965</v>
      </c>
      <c r="AJ113">
        <v>0.35400946159107965</v>
      </c>
      <c r="AK113">
        <v>3.3477229766109624E-2</v>
      </c>
      <c r="AL113">
        <v>2.9625748304286081</v>
      </c>
    </row>
    <row r="114" spans="1:38">
      <c r="A114" t="s">
        <v>67</v>
      </c>
      <c r="B114" t="s">
        <v>94</v>
      </c>
      <c r="C114">
        <v>231122</v>
      </c>
      <c r="D114" t="s">
        <v>213</v>
      </c>
      <c r="E114" t="s">
        <v>544</v>
      </c>
      <c r="F114" t="s">
        <v>764</v>
      </c>
      <c r="G114">
        <v>1.58</v>
      </c>
      <c r="H114">
        <v>45</v>
      </c>
      <c r="I114">
        <v>23.8</v>
      </c>
      <c r="J114">
        <v>31</v>
      </c>
      <c r="K114">
        <v>9.6999999999999993</v>
      </c>
      <c r="L114">
        <v>42.9</v>
      </c>
      <c r="M114" t="s">
        <v>780</v>
      </c>
      <c r="N114" t="s">
        <v>787</v>
      </c>
      <c r="O114">
        <v>13.21</v>
      </c>
      <c r="P114">
        <v>178</v>
      </c>
      <c r="Q114">
        <v>174</v>
      </c>
      <c r="R114">
        <v>45.6</v>
      </c>
      <c r="S114">
        <v>158.9</v>
      </c>
      <c r="T114">
        <v>0</v>
      </c>
      <c r="U114" t="s">
        <v>796</v>
      </c>
      <c r="V114">
        <v>13</v>
      </c>
      <c r="W114">
        <v>0.19</v>
      </c>
      <c r="X114" t="s">
        <v>805</v>
      </c>
      <c r="Y114">
        <v>89.27</v>
      </c>
      <c r="Z114" t="s">
        <v>812</v>
      </c>
      <c r="AA114">
        <v>36.928568146305459</v>
      </c>
      <c r="AB114">
        <v>33.682642344262412</v>
      </c>
      <c r="AC114">
        <v>38.677345278114444</v>
      </c>
      <c r="AD114">
        <v>39.094674948001433</v>
      </c>
      <c r="AE114">
        <v>25.945676689102537</v>
      </c>
      <c r="AF114">
        <v>25.758839193528424</v>
      </c>
      <c r="AG114">
        <v>38.031943609662306</v>
      </c>
      <c r="AH114">
        <v>5.5558755989752715</v>
      </c>
      <c r="AI114">
        <v>0.23958223916672455</v>
      </c>
      <c r="AJ114">
        <v>0.23958223916672455</v>
      </c>
      <c r="AK114">
        <v>2.9243785788175838E-2</v>
      </c>
      <c r="AL114">
        <v>2.2145492918486269</v>
      </c>
    </row>
    <row r="115" spans="1:38">
      <c r="A115" t="s">
        <v>1</v>
      </c>
      <c r="B115" t="s">
        <v>93</v>
      </c>
      <c r="C115">
        <v>240322</v>
      </c>
      <c r="D115" t="s">
        <v>214</v>
      </c>
      <c r="E115" t="s">
        <v>545</v>
      </c>
      <c r="F115" t="s">
        <v>765</v>
      </c>
      <c r="G115">
        <v>1.681</v>
      </c>
      <c r="H115">
        <v>46.8</v>
      </c>
      <c r="I115">
        <v>23.7</v>
      </c>
      <c r="J115">
        <v>32.6</v>
      </c>
      <c r="K115">
        <v>10.1</v>
      </c>
      <c r="L115">
        <v>40.799999999999997</v>
      </c>
      <c r="M115" t="s">
        <v>776</v>
      </c>
      <c r="N115" t="s">
        <v>787</v>
      </c>
      <c r="O115">
        <v>14</v>
      </c>
      <c r="P115">
        <v>190</v>
      </c>
      <c r="Q115">
        <v>184.5</v>
      </c>
      <c r="R115">
        <v>46.9</v>
      </c>
      <c r="S115">
        <v>166.7</v>
      </c>
      <c r="T115">
        <v>0</v>
      </c>
      <c r="U115" t="s">
        <v>796</v>
      </c>
      <c r="V115">
        <v>12.1</v>
      </c>
      <c r="W115">
        <v>1.85</v>
      </c>
      <c r="X115" t="s">
        <v>806</v>
      </c>
      <c r="Y115">
        <v>87.74</v>
      </c>
      <c r="Z115" t="s">
        <v>811</v>
      </c>
      <c r="AA115">
        <v>37.523050916564237</v>
      </c>
      <c r="AB115">
        <v>36.970736786413099</v>
      </c>
      <c r="AC115">
        <v>41.33933760344928</v>
      </c>
      <c r="AD115">
        <v>41.251426174848447</v>
      </c>
      <c r="AE115">
        <v>26.360759618129503</v>
      </c>
      <c r="AF115">
        <v>26.245762326862149</v>
      </c>
      <c r="AG115">
        <v>43.316068793296481</v>
      </c>
      <c r="AH115">
        <v>5.7781106229342827</v>
      </c>
      <c r="AI115">
        <v>0.25001850380633195</v>
      </c>
      <c r="AJ115">
        <v>0.25001850380633195</v>
      </c>
      <c r="AK115">
        <v>2.339478833360795E-2</v>
      </c>
      <c r="AL115">
        <v>2.3031312635225722</v>
      </c>
    </row>
    <row r="116" spans="1:38">
      <c r="A116" t="s">
        <v>2</v>
      </c>
      <c r="B116" t="s">
        <v>93</v>
      </c>
      <c r="C116">
        <v>240327</v>
      </c>
      <c r="D116" t="s">
        <v>215</v>
      </c>
      <c r="E116" t="s">
        <v>546</v>
      </c>
      <c r="F116" t="s">
        <v>765</v>
      </c>
      <c r="G116">
        <v>1.4850000000000001</v>
      </c>
      <c r="H116">
        <v>33.6</v>
      </c>
      <c r="I116">
        <v>21.6</v>
      </c>
      <c r="J116">
        <v>27.4</v>
      </c>
      <c r="K116">
        <v>8.6999999999999993</v>
      </c>
      <c r="L116">
        <v>39.799999999999997</v>
      </c>
      <c r="M116" t="s">
        <v>784</v>
      </c>
      <c r="N116" t="s">
        <v>787</v>
      </c>
      <c r="O116">
        <v>11.67</v>
      </c>
      <c r="P116">
        <v>175.8</v>
      </c>
      <c r="Q116">
        <v>176.5</v>
      </c>
      <c r="R116">
        <v>33.9</v>
      </c>
      <c r="S116">
        <v>146.1</v>
      </c>
      <c r="T116">
        <v>0</v>
      </c>
      <c r="U116" t="s">
        <v>797</v>
      </c>
      <c r="V116">
        <v>11.8</v>
      </c>
      <c r="W116">
        <v>-0.09</v>
      </c>
      <c r="X116" t="s">
        <v>805</v>
      </c>
      <c r="Y116">
        <v>83.11</v>
      </c>
      <c r="Z116" t="s">
        <v>811</v>
      </c>
      <c r="AA116">
        <v>33.351324090859094</v>
      </c>
      <c r="AB116">
        <v>32.427595790166997</v>
      </c>
      <c r="AC116">
        <v>34.991429747761345</v>
      </c>
      <c r="AD116">
        <v>35.496777653110776</v>
      </c>
      <c r="AE116">
        <v>24.11565787654331</v>
      </c>
      <c r="AF116">
        <v>24.3875812110578</v>
      </c>
      <c r="AG116">
        <v>37.498793587962673</v>
      </c>
      <c r="AH116">
        <v>4.1483871139015358</v>
      </c>
      <c r="AI116">
        <v>0.14086852418457416</v>
      </c>
      <c r="AJ116">
        <v>0.14086852418457416</v>
      </c>
      <c r="AK116">
        <v>1.6334608328286308E-2</v>
      </c>
      <c r="AL116">
        <v>1.6535301379136418</v>
      </c>
    </row>
    <row r="117" spans="1:38">
      <c r="A117" t="s">
        <v>3</v>
      </c>
      <c r="B117" t="s">
        <v>93</v>
      </c>
      <c r="C117">
        <v>240319</v>
      </c>
      <c r="D117" t="s">
        <v>216</v>
      </c>
      <c r="E117" t="s">
        <v>547</v>
      </c>
      <c r="F117" t="s">
        <v>765</v>
      </c>
      <c r="G117">
        <v>1.48</v>
      </c>
      <c r="H117">
        <v>37.4</v>
      </c>
      <c r="I117">
        <v>20.3</v>
      </c>
      <c r="J117">
        <v>29</v>
      </c>
      <c r="K117">
        <v>9.3000000000000007</v>
      </c>
      <c r="L117">
        <v>41.5</v>
      </c>
      <c r="M117" t="s">
        <v>783</v>
      </c>
      <c r="N117" t="s">
        <v>787</v>
      </c>
      <c r="O117">
        <v>11.87</v>
      </c>
      <c r="P117">
        <v>180</v>
      </c>
      <c r="Q117">
        <v>176.3</v>
      </c>
      <c r="R117">
        <v>37.4</v>
      </c>
      <c r="S117">
        <v>146.6</v>
      </c>
      <c r="T117">
        <v>0</v>
      </c>
      <c r="U117" t="s">
        <v>796</v>
      </c>
      <c r="V117">
        <v>11</v>
      </c>
      <c r="W117">
        <v>0.91</v>
      </c>
      <c r="X117" t="s">
        <v>805</v>
      </c>
      <c r="Y117">
        <v>81.44</v>
      </c>
      <c r="Z117" t="s">
        <v>811</v>
      </c>
      <c r="AA117">
        <v>33.873665170184026</v>
      </c>
      <c r="AB117">
        <v>31.724310315505647</v>
      </c>
      <c r="AC117">
        <v>35.080120575796691</v>
      </c>
      <c r="AD117">
        <v>35.238499665454185</v>
      </c>
      <c r="AE117">
        <v>22.219736046914555</v>
      </c>
      <c r="AF117">
        <v>23.215428813727605</v>
      </c>
      <c r="AG117">
        <v>37.271682802373547</v>
      </c>
      <c r="AH117">
        <v>4.6175499422594477</v>
      </c>
      <c r="AI117">
        <v>0.15860904697912381</v>
      </c>
      <c r="AJ117">
        <v>0.15860904697912381</v>
      </c>
      <c r="AK117">
        <v>2.4587677802769683E-2</v>
      </c>
      <c r="AL117">
        <v>1.8405365225586368</v>
      </c>
    </row>
    <row r="118" spans="1:38">
      <c r="A118" t="s">
        <v>4</v>
      </c>
      <c r="B118" t="s">
        <v>93</v>
      </c>
      <c r="C118">
        <v>240325</v>
      </c>
      <c r="D118" t="s">
        <v>217</v>
      </c>
      <c r="E118" t="s">
        <v>548</v>
      </c>
      <c r="F118" t="s">
        <v>765</v>
      </c>
      <c r="G118">
        <v>1.5</v>
      </c>
      <c r="H118">
        <v>35.9</v>
      </c>
      <c r="I118">
        <v>20.399999999999999</v>
      </c>
      <c r="J118">
        <v>27</v>
      </c>
      <c r="K118">
        <v>9.5</v>
      </c>
      <c r="L118">
        <v>37.4</v>
      </c>
      <c r="M118" t="s">
        <v>776</v>
      </c>
      <c r="N118" t="s">
        <v>787</v>
      </c>
      <c r="O118">
        <v>12.46</v>
      </c>
      <c r="P118">
        <v>176.5</v>
      </c>
      <c r="Q118">
        <v>175.8</v>
      </c>
      <c r="R118">
        <v>36.4</v>
      </c>
      <c r="S118">
        <v>149.9</v>
      </c>
      <c r="T118">
        <v>0</v>
      </c>
      <c r="U118" t="s">
        <v>796</v>
      </c>
      <c r="V118">
        <v>12.1</v>
      </c>
      <c r="W118">
        <v>0.36</v>
      </c>
      <c r="X118" t="s">
        <v>805</v>
      </c>
      <c r="Y118">
        <v>84.93</v>
      </c>
      <c r="Z118" t="s">
        <v>811</v>
      </c>
      <c r="AA118">
        <v>32.604662633058886</v>
      </c>
      <c r="AB118">
        <v>32.709983009874392</v>
      </c>
      <c r="AC118">
        <v>37.253449816257067</v>
      </c>
      <c r="AD118">
        <v>36.44017087239029</v>
      </c>
      <c r="AE118">
        <v>24.44594943691013</v>
      </c>
      <c r="AF118">
        <v>23.978780523691665</v>
      </c>
      <c r="AG118">
        <v>35.952450303157867</v>
      </c>
      <c r="AH118">
        <v>4.4323540889602722</v>
      </c>
      <c r="AI118">
        <v>0.16490051300677125</v>
      </c>
      <c r="AJ118">
        <v>0.16490051300677125</v>
      </c>
      <c r="AK118">
        <v>1.879522193438941E-2</v>
      </c>
      <c r="AL118">
        <v>1.7667182128303491</v>
      </c>
    </row>
    <row r="119" spans="1:38">
      <c r="A119" t="s">
        <v>5</v>
      </c>
      <c r="B119" t="s">
        <v>93</v>
      </c>
      <c r="C119">
        <v>240327</v>
      </c>
      <c r="D119" t="s">
        <v>218</v>
      </c>
      <c r="E119" t="s">
        <v>549</v>
      </c>
      <c r="F119" t="s">
        <v>765</v>
      </c>
      <c r="G119">
        <v>1.367</v>
      </c>
      <c r="H119">
        <v>32.799999999999997</v>
      </c>
      <c r="I119">
        <v>18.5</v>
      </c>
      <c r="J119">
        <v>28.5</v>
      </c>
      <c r="K119">
        <v>8.3000000000000007</v>
      </c>
      <c r="L119">
        <v>39.799999999999997</v>
      </c>
      <c r="M119" t="s">
        <v>779</v>
      </c>
      <c r="N119" t="s">
        <v>788</v>
      </c>
      <c r="O119">
        <v>10.5</v>
      </c>
      <c r="P119">
        <v>168.4</v>
      </c>
      <c r="Q119">
        <v>166.1</v>
      </c>
      <c r="R119">
        <v>31.7</v>
      </c>
      <c r="S119">
        <v>135.6</v>
      </c>
      <c r="T119">
        <v>0</v>
      </c>
      <c r="U119" t="s">
        <v>798</v>
      </c>
      <c r="V119">
        <v>11.5</v>
      </c>
      <c r="W119">
        <v>-1.04</v>
      </c>
      <c r="X119" t="s">
        <v>808</v>
      </c>
      <c r="Y119">
        <v>80.52</v>
      </c>
      <c r="Z119" t="s">
        <v>811</v>
      </c>
      <c r="AA119">
        <v>29.397497652694028</v>
      </c>
      <c r="AB119">
        <v>29.130960241384493</v>
      </c>
      <c r="AC119">
        <v>34.560513779325703</v>
      </c>
      <c r="AD119">
        <v>34.050134207457546</v>
      </c>
      <c r="AE119">
        <v>22.334629668734845</v>
      </c>
      <c r="AF119">
        <v>22.242107863743151</v>
      </c>
      <c r="AG119">
        <v>32.193836689142948</v>
      </c>
      <c r="AH119">
        <v>4.049615992141975</v>
      </c>
      <c r="AI119">
        <v>0.11972126965993776</v>
      </c>
      <c r="AJ119">
        <v>0.11972126965993776</v>
      </c>
      <c r="AK119">
        <v>1.5193520546871526E-2</v>
      </c>
      <c r="AL119">
        <v>1.6141603727252214</v>
      </c>
    </row>
    <row r="120" spans="1:38">
      <c r="A120" t="s">
        <v>6</v>
      </c>
      <c r="B120" t="s">
        <v>93</v>
      </c>
      <c r="C120">
        <v>240325</v>
      </c>
      <c r="D120" t="s">
        <v>219</v>
      </c>
      <c r="E120" t="s">
        <v>550</v>
      </c>
      <c r="F120" t="s">
        <v>765</v>
      </c>
      <c r="G120">
        <v>1.45</v>
      </c>
      <c r="H120">
        <v>34.4</v>
      </c>
      <c r="I120">
        <v>20</v>
      </c>
      <c r="J120">
        <v>29.4</v>
      </c>
      <c r="K120">
        <v>9</v>
      </c>
      <c r="L120">
        <v>43.2</v>
      </c>
      <c r="M120" t="s">
        <v>777</v>
      </c>
      <c r="N120" t="s">
        <v>787</v>
      </c>
      <c r="O120">
        <v>11.6</v>
      </c>
      <c r="P120">
        <v>176.1</v>
      </c>
      <c r="Q120">
        <v>177.3</v>
      </c>
      <c r="R120">
        <v>35.1</v>
      </c>
      <c r="S120">
        <v>145</v>
      </c>
      <c r="T120">
        <v>0</v>
      </c>
      <c r="U120" t="s">
        <v>798</v>
      </c>
      <c r="V120">
        <v>11.5</v>
      </c>
      <c r="W120">
        <v>0.12</v>
      </c>
      <c r="X120" t="s">
        <v>805</v>
      </c>
      <c r="Y120">
        <v>82.34</v>
      </c>
      <c r="Z120" t="s">
        <v>811</v>
      </c>
      <c r="AA120">
        <v>34.06168265660267</v>
      </c>
      <c r="AB120">
        <v>32.906718387826004</v>
      </c>
      <c r="AC120">
        <v>34.769991358614391</v>
      </c>
      <c r="AD120">
        <v>34.528689919182384</v>
      </c>
      <c r="AE120">
        <v>24.072093236261534</v>
      </c>
      <c r="AF120">
        <v>23.932242412485074</v>
      </c>
      <c r="AG120">
        <v>37.398893684182262</v>
      </c>
      <c r="AH120">
        <v>4.2471582356610966</v>
      </c>
      <c r="AI120">
        <v>0.14637227252174262</v>
      </c>
      <c r="AJ120">
        <v>0.14637227252174262</v>
      </c>
      <c r="AK120">
        <v>1.5441478750753362E-2</v>
      </c>
      <c r="AL120">
        <v>1.6928999031020617</v>
      </c>
    </row>
    <row r="121" spans="1:38">
      <c r="A121" t="s">
        <v>8</v>
      </c>
      <c r="B121" t="s">
        <v>93</v>
      </c>
      <c r="C121">
        <v>240325</v>
      </c>
      <c r="D121" t="s">
        <v>220</v>
      </c>
      <c r="E121" t="s">
        <v>551</v>
      </c>
      <c r="F121" t="s">
        <v>765</v>
      </c>
      <c r="G121">
        <v>1.4</v>
      </c>
      <c r="H121">
        <v>35.5</v>
      </c>
      <c r="I121">
        <v>21</v>
      </c>
      <c r="J121">
        <v>29.2</v>
      </c>
      <c r="K121">
        <v>8.9</v>
      </c>
      <c r="L121">
        <v>43.4</v>
      </c>
      <c r="M121" t="s">
        <v>777</v>
      </c>
      <c r="N121" t="s">
        <v>788</v>
      </c>
      <c r="O121">
        <v>10.54</v>
      </c>
      <c r="P121">
        <v>173.3</v>
      </c>
      <c r="Q121">
        <v>176.1</v>
      </c>
      <c r="R121">
        <v>35.9</v>
      </c>
      <c r="S121">
        <v>139.5</v>
      </c>
      <c r="T121">
        <v>0</v>
      </c>
      <c r="U121" t="s">
        <v>799</v>
      </c>
      <c r="V121">
        <v>11.3</v>
      </c>
      <c r="W121">
        <v>-0.74</v>
      </c>
      <c r="X121" t="s">
        <v>805</v>
      </c>
      <c r="Y121">
        <v>80.5</v>
      </c>
      <c r="Z121" t="s">
        <v>811</v>
      </c>
      <c r="AA121">
        <v>30.245141959406389</v>
      </c>
      <c r="AB121">
        <v>28.664978831152673</v>
      </c>
      <c r="AC121">
        <v>32.705961809229308</v>
      </c>
      <c r="AD121">
        <v>33.334993057855556</v>
      </c>
      <c r="AE121">
        <v>23.339119447298881</v>
      </c>
      <c r="AF121">
        <v>22.167282191309727</v>
      </c>
      <c r="AG121">
        <v>35.361524221409795</v>
      </c>
      <c r="AH121">
        <v>4.3829685280804922</v>
      </c>
      <c r="AI121">
        <v>0.12879812502742688</v>
      </c>
      <c r="AJ121">
        <v>0.12879812502742688</v>
      </c>
      <c r="AK121">
        <v>1.7428627891450298E-2</v>
      </c>
      <c r="AL121">
        <v>1.7470333302361392</v>
      </c>
    </row>
    <row r="122" spans="1:38">
      <c r="A122" t="s">
        <v>9</v>
      </c>
      <c r="B122" t="s">
        <v>93</v>
      </c>
      <c r="C122">
        <v>240325</v>
      </c>
      <c r="D122" t="s">
        <v>221</v>
      </c>
      <c r="E122" t="s">
        <v>552</v>
      </c>
      <c r="F122" t="s">
        <v>765</v>
      </c>
      <c r="G122">
        <v>1.5680000000000001</v>
      </c>
      <c r="H122">
        <v>43.6</v>
      </c>
      <c r="I122">
        <v>22.9</v>
      </c>
      <c r="J122">
        <v>29.8</v>
      </c>
      <c r="K122">
        <v>10.4</v>
      </c>
      <c r="L122">
        <v>42.6</v>
      </c>
      <c r="M122" t="s">
        <v>779</v>
      </c>
      <c r="N122" t="s">
        <v>787</v>
      </c>
      <c r="O122">
        <v>12.75</v>
      </c>
      <c r="P122">
        <v>179.9</v>
      </c>
      <c r="Q122">
        <v>178.4</v>
      </c>
      <c r="R122">
        <v>43.9</v>
      </c>
      <c r="S122">
        <v>153.6</v>
      </c>
      <c r="T122">
        <v>0</v>
      </c>
      <c r="U122" t="s">
        <v>796</v>
      </c>
      <c r="V122">
        <v>12.1</v>
      </c>
      <c r="W122">
        <v>0.66</v>
      </c>
      <c r="X122" t="s">
        <v>805</v>
      </c>
      <c r="Y122">
        <v>85.38</v>
      </c>
      <c r="Z122" t="s">
        <v>811</v>
      </c>
      <c r="AA122">
        <v>38.081614811649544</v>
      </c>
      <c r="AB122">
        <v>36.077662965142018</v>
      </c>
      <c r="AC122">
        <v>34.911835880036918</v>
      </c>
      <c r="AD122">
        <v>36.864298176071777</v>
      </c>
      <c r="AE122">
        <v>26.594955103926573</v>
      </c>
      <c r="AF122">
        <v>26.605382352497422</v>
      </c>
      <c r="AG122">
        <v>36.785939999980847</v>
      </c>
      <c r="AH122">
        <v>5.3830261358960412</v>
      </c>
      <c r="AI122">
        <v>0.21358474436428468</v>
      </c>
      <c r="AJ122">
        <v>0.21358474436428468</v>
      </c>
      <c r="AK122">
        <v>2.1872537917863467E-2</v>
      </c>
      <c r="AL122">
        <v>2.145652202768892</v>
      </c>
    </row>
    <row r="123" spans="1:38">
      <c r="A123" t="s">
        <v>10</v>
      </c>
      <c r="B123" t="s">
        <v>93</v>
      </c>
      <c r="C123">
        <v>240325</v>
      </c>
      <c r="D123" t="s">
        <v>222</v>
      </c>
      <c r="E123" t="s">
        <v>553</v>
      </c>
      <c r="F123" t="s">
        <v>765</v>
      </c>
      <c r="G123">
        <v>1.54</v>
      </c>
      <c r="H123">
        <v>40.200000000000003</v>
      </c>
      <c r="I123">
        <v>21.4</v>
      </c>
      <c r="J123">
        <v>28.5</v>
      </c>
      <c r="K123">
        <v>10.1</v>
      </c>
      <c r="L123">
        <v>39.299999999999997</v>
      </c>
      <c r="M123" t="s">
        <v>780</v>
      </c>
      <c r="N123" t="s">
        <v>787</v>
      </c>
      <c r="O123">
        <v>12.43</v>
      </c>
      <c r="P123">
        <v>181.5</v>
      </c>
      <c r="Q123">
        <v>179.4</v>
      </c>
      <c r="R123">
        <v>40.1</v>
      </c>
      <c r="S123">
        <v>152.9</v>
      </c>
      <c r="T123">
        <v>0</v>
      </c>
      <c r="U123" t="s">
        <v>797</v>
      </c>
      <c r="V123">
        <v>11.8</v>
      </c>
      <c r="W123">
        <v>0.62</v>
      </c>
      <c r="X123" t="s">
        <v>805</v>
      </c>
      <c r="Y123">
        <v>84.24</v>
      </c>
      <c r="Z123" t="s">
        <v>811</v>
      </c>
      <c r="AA123">
        <v>35.567447497682757</v>
      </c>
      <c r="AB123">
        <v>35.155237858119548</v>
      </c>
      <c r="AC123">
        <v>36.398434347934604</v>
      </c>
      <c r="AD123">
        <v>36.722665830201279</v>
      </c>
      <c r="AE123">
        <v>26.147556021013536</v>
      </c>
      <c r="AF123">
        <v>25.549720741208112</v>
      </c>
      <c r="AG123">
        <v>39.760707646773248</v>
      </c>
      <c r="AH123">
        <v>4.9632488684179092</v>
      </c>
      <c r="AI123">
        <v>0.18271911128065282</v>
      </c>
      <c r="AJ123">
        <v>0.18271911128065282</v>
      </c>
      <c r="AK123">
        <v>1.7882061741840174E-2</v>
      </c>
      <c r="AL123">
        <v>1.978330700718107</v>
      </c>
    </row>
    <row r="124" spans="1:38">
      <c r="A124" t="s">
        <v>11</v>
      </c>
      <c r="B124" t="s">
        <v>93</v>
      </c>
      <c r="C124">
        <v>240327</v>
      </c>
      <c r="D124" t="s">
        <v>223</v>
      </c>
      <c r="E124" t="s">
        <v>554</v>
      </c>
      <c r="F124" t="s">
        <v>765</v>
      </c>
      <c r="G124">
        <v>1.573</v>
      </c>
      <c r="H124">
        <v>45.1</v>
      </c>
      <c r="I124">
        <v>19.7</v>
      </c>
      <c r="J124">
        <v>30.2</v>
      </c>
      <c r="K124">
        <v>10.199999999999999</v>
      </c>
      <c r="L124">
        <v>45</v>
      </c>
      <c r="M124" t="s">
        <v>781</v>
      </c>
      <c r="N124" t="s">
        <v>787</v>
      </c>
      <c r="O124">
        <v>12.8</v>
      </c>
      <c r="P124">
        <v>181.8</v>
      </c>
      <c r="Q124">
        <v>180.8</v>
      </c>
      <c r="R124">
        <v>44.9</v>
      </c>
      <c r="S124">
        <v>155.9</v>
      </c>
      <c r="T124">
        <v>0</v>
      </c>
      <c r="U124" t="s">
        <v>796</v>
      </c>
      <c r="V124">
        <v>12.1</v>
      </c>
      <c r="W124">
        <v>0.66</v>
      </c>
      <c r="X124" t="s">
        <v>805</v>
      </c>
      <c r="Y124">
        <v>85.75</v>
      </c>
      <c r="Z124" t="s">
        <v>811</v>
      </c>
      <c r="AA124">
        <v>36.378585950599685</v>
      </c>
      <c r="AB124">
        <v>34.762701763074702</v>
      </c>
      <c r="AC124">
        <v>39.751398987836978</v>
      </c>
      <c r="AD124">
        <v>41.167881393018448</v>
      </c>
      <c r="AE124">
        <v>24.431085631511117</v>
      </c>
      <c r="AF124">
        <v>24.672441575556739</v>
      </c>
      <c r="AG124">
        <v>38.443885327303526</v>
      </c>
      <c r="AH124">
        <v>5.5682219891952167</v>
      </c>
      <c r="AI124">
        <v>0.21893826776621755</v>
      </c>
      <c r="AJ124">
        <v>0.21893826776621755</v>
      </c>
      <c r="AK124">
        <v>2.6311740486054929E-2</v>
      </c>
      <c r="AL124">
        <v>2.2194705124971796</v>
      </c>
    </row>
    <row r="125" spans="1:38">
      <c r="A125" t="s">
        <v>12</v>
      </c>
      <c r="B125" t="s">
        <v>93</v>
      </c>
      <c r="C125">
        <v>240319</v>
      </c>
      <c r="D125" t="s">
        <v>224</v>
      </c>
      <c r="E125" t="s">
        <v>555</v>
      </c>
      <c r="F125" t="s">
        <v>765</v>
      </c>
      <c r="G125">
        <v>1.52</v>
      </c>
      <c r="H125">
        <v>36.5</v>
      </c>
      <c r="I125">
        <v>19.5</v>
      </c>
      <c r="J125">
        <v>26.3</v>
      </c>
      <c r="K125">
        <v>8.8000000000000007</v>
      </c>
      <c r="L125">
        <v>38.1</v>
      </c>
      <c r="M125" t="s">
        <v>783</v>
      </c>
      <c r="N125" t="s">
        <v>788</v>
      </c>
      <c r="O125">
        <v>11.98</v>
      </c>
      <c r="P125">
        <v>181.1</v>
      </c>
      <c r="Q125">
        <v>181.1</v>
      </c>
      <c r="R125">
        <v>36.1</v>
      </c>
      <c r="S125">
        <v>150.6</v>
      </c>
      <c r="T125">
        <v>0</v>
      </c>
      <c r="U125" t="s">
        <v>798</v>
      </c>
      <c r="V125">
        <v>11.6</v>
      </c>
      <c r="W125">
        <v>0.41</v>
      </c>
      <c r="X125" t="s">
        <v>805</v>
      </c>
      <c r="Y125">
        <v>83.16</v>
      </c>
      <c r="Z125" t="s">
        <v>811</v>
      </c>
      <c r="AA125">
        <v>31.980785473978393</v>
      </c>
      <c r="AB125">
        <v>34.211334297685504</v>
      </c>
      <c r="AC125">
        <v>37.894437997387591</v>
      </c>
      <c r="AD125">
        <v>37.166862576843641</v>
      </c>
      <c r="AE125">
        <v>23.888624869631133</v>
      </c>
      <c r="AF125">
        <v>24.302305293854239</v>
      </c>
      <c r="AG125">
        <v>38.849146582227945</v>
      </c>
      <c r="AH125">
        <v>4.5064324302799426</v>
      </c>
      <c r="AI125">
        <v>0.1587891429963546</v>
      </c>
      <c r="AJ125">
        <v>0.1587891429963546</v>
      </c>
      <c r="AK125">
        <v>2.0315619787297384E-2</v>
      </c>
      <c r="AL125">
        <v>1.7962455367216643</v>
      </c>
    </row>
    <row r="126" spans="1:38">
      <c r="A126" t="s">
        <v>13</v>
      </c>
      <c r="B126" t="s">
        <v>94</v>
      </c>
      <c r="C126">
        <v>240327</v>
      </c>
      <c r="D126" t="s">
        <v>225</v>
      </c>
      <c r="E126" t="s">
        <v>556</v>
      </c>
      <c r="F126" t="s">
        <v>765</v>
      </c>
      <c r="G126">
        <v>1.4379999999999999</v>
      </c>
      <c r="H126">
        <v>33.4</v>
      </c>
      <c r="I126">
        <v>18.7</v>
      </c>
      <c r="J126">
        <v>26.6</v>
      </c>
      <c r="K126">
        <v>8.6</v>
      </c>
      <c r="L126">
        <v>30.2</v>
      </c>
      <c r="M126" t="s">
        <v>782</v>
      </c>
      <c r="N126" t="s">
        <v>788</v>
      </c>
      <c r="O126">
        <v>11.1</v>
      </c>
      <c r="P126">
        <v>171.3</v>
      </c>
      <c r="Q126">
        <v>173.8</v>
      </c>
      <c r="R126">
        <v>32.700000000000003</v>
      </c>
      <c r="S126">
        <v>142.9</v>
      </c>
      <c r="T126">
        <v>0</v>
      </c>
      <c r="U126" t="s">
        <v>797</v>
      </c>
      <c r="V126">
        <v>13</v>
      </c>
      <c r="W126">
        <v>-1.85</v>
      </c>
      <c r="X126" t="s">
        <v>808</v>
      </c>
      <c r="Y126">
        <v>83.42</v>
      </c>
      <c r="Z126" t="s">
        <v>811</v>
      </c>
      <c r="AA126">
        <v>33.900163294912147</v>
      </c>
      <c r="AB126">
        <v>31.447426057001472</v>
      </c>
      <c r="AC126">
        <v>32.93101628524871</v>
      </c>
      <c r="AD126">
        <v>35.939351468129232</v>
      </c>
      <c r="AE126">
        <v>23.41303664857022</v>
      </c>
      <c r="AF126">
        <v>23.896987315721365</v>
      </c>
      <c r="AG126">
        <v>34.521083795126863</v>
      </c>
      <c r="AH126">
        <v>4.1236943334616463</v>
      </c>
      <c r="AI126">
        <v>0.14542970439647257</v>
      </c>
      <c r="AJ126">
        <v>0.14542970439647257</v>
      </c>
      <c r="AK126">
        <v>1.6121361788001561E-2</v>
      </c>
      <c r="AL126">
        <v>1.6436876966165366</v>
      </c>
    </row>
    <row r="127" spans="1:38">
      <c r="A127" t="s">
        <v>15</v>
      </c>
      <c r="B127" t="s">
        <v>94</v>
      </c>
      <c r="C127">
        <v>240327</v>
      </c>
      <c r="D127" t="s">
        <v>226</v>
      </c>
      <c r="E127" t="s">
        <v>557</v>
      </c>
      <c r="F127" t="s">
        <v>765</v>
      </c>
      <c r="G127">
        <v>1.518</v>
      </c>
      <c r="H127">
        <v>46.6</v>
      </c>
      <c r="I127">
        <v>21.9</v>
      </c>
      <c r="J127">
        <v>32.6</v>
      </c>
      <c r="K127">
        <v>9.6</v>
      </c>
      <c r="L127">
        <v>47.7</v>
      </c>
      <c r="M127" t="s">
        <v>781</v>
      </c>
      <c r="N127" t="s">
        <v>787</v>
      </c>
      <c r="O127">
        <v>12.9</v>
      </c>
      <c r="P127">
        <v>174.4</v>
      </c>
      <c r="Q127">
        <v>172.4</v>
      </c>
      <c r="R127">
        <v>45.5</v>
      </c>
      <c r="S127">
        <v>150.9</v>
      </c>
      <c r="T127">
        <v>0</v>
      </c>
      <c r="U127" t="s">
        <v>798</v>
      </c>
      <c r="V127">
        <v>12.5</v>
      </c>
      <c r="W127">
        <v>0.35</v>
      </c>
      <c r="X127" t="s">
        <v>805</v>
      </c>
      <c r="Y127">
        <v>86.54</v>
      </c>
      <c r="Z127" t="s">
        <v>811</v>
      </c>
      <c r="AA127">
        <v>33.524935736032027</v>
      </c>
      <c r="AB127">
        <v>31.239160393809925</v>
      </c>
      <c r="AC127">
        <v>38.806222708186425</v>
      </c>
      <c r="AD127">
        <v>39.122167743065084</v>
      </c>
      <c r="AE127">
        <v>26.078689399052223</v>
      </c>
      <c r="AF127">
        <v>26.104012210071708</v>
      </c>
      <c r="AG127">
        <v>36.396328236765264</v>
      </c>
      <c r="AH127">
        <v>5.7534178424943923</v>
      </c>
      <c r="AI127">
        <v>0.19928799718326223</v>
      </c>
      <c r="AJ127">
        <v>0.19928799718326223</v>
      </c>
      <c r="AK127">
        <v>2.9671898339166312E-2</v>
      </c>
      <c r="AL127">
        <v>2.2932888222254673</v>
      </c>
    </row>
    <row r="128" spans="1:38">
      <c r="A128" t="s">
        <v>16</v>
      </c>
      <c r="B128" t="s">
        <v>94</v>
      </c>
      <c r="C128">
        <v>240322</v>
      </c>
      <c r="D128" t="s">
        <v>227</v>
      </c>
      <c r="E128" t="s">
        <v>558</v>
      </c>
      <c r="F128" t="s">
        <v>765</v>
      </c>
      <c r="G128">
        <v>1.69</v>
      </c>
      <c r="H128">
        <v>55.6</v>
      </c>
      <c r="I128">
        <v>27.4</v>
      </c>
      <c r="J128">
        <v>37.700000000000003</v>
      </c>
      <c r="K128">
        <v>10</v>
      </c>
      <c r="L128">
        <v>55.9</v>
      </c>
      <c r="M128" t="s">
        <v>779</v>
      </c>
      <c r="N128" t="s">
        <v>787</v>
      </c>
      <c r="O128">
        <v>15.44</v>
      </c>
      <c r="P128">
        <v>184.5</v>
      </c>
      <c r="Q128">
        <v>175.1</v>
      </c>
      <c r="R128">
        <v>55.1</v>
      </c>
      <c r="S128">
        <v>166.9</v>
      </c>
      <c r="T128">
        <v>0</v>
      </c>
      <c r="U128" t="s">
        <v>797</v>
      </c>
      <c r="V128">
        <v>12.9</v>
      </c>
      <c r="W128">
        <v>2.52</v>
      </c>
      <c r="X128" t="s">
        <v>804</v>
      </c>
      <c r="Y128">
        <v>90.46</v>
      </c>
      <c r="Z128" t="s">
        <v>812</v>
      </c>
      <c r="AA128">
        <v>36.579844567861791</v>
      </c>
      <c r="AB128">
        <v>37.37472142621364</v>
      </c>
      <c r="AC128">
        <v>41.449290628475218</v>
      </c>
      <c r="AD128">
        <v>39.987592838051732</v>
      </c>
      <c r="AE128">
        <v>24.710489261006675</v>
      </c>
      <c r="AF128">
        <v>25.087926778187178</v>
      </c>
      <c r="AG128">
        <v>43.827978763278111</v>
      </c>
      <c r="AH128">
        <v>6.8645929622894473</v>
      </c>
      <c r="AI128">
        <v>0.30497835641839843</v>
      </c>
      <c r="AJ128">
        <v>0.30497835641839843</v>
      </c>
      <c r="AK128">
        <v>3.0924842221470433E-2</v>
      </c>
      <c r="AL128">
        <v>2.736198680595193</v>
      </c>
    </row>
    <row r="129" spans="1:38">
      <c r="A129" t="s">
        <v>18</v>
      </c>
      <c r="B129" t="s">
        <v>94</v>
      </c>
      <c r="C129">
        <v>240327</v>
      </c>
      <c r="D129" t="s">
        <v>228</v>
      </c>
      <c r="E129" t="s">
        <v>559</v>
      </c>
      <c r="F129" t="s">
        <v>765</v>
      </c>
      <c r="G129">
        <v>1.5680000000000001</v>
      </c>
      <c r="H129">
        <v>42.5</v>
      </c>
      <c r="I129">
        <v>21</v>
      </c>
      <c r="J129">
        <v>31.5</v>
      </c>
      <c r="K129">
        <v>9.1999999999999993</v>
      </c>
      <c r="L129">
        <v>43</v>
      </c>
      <c r="M129" t="s">
        <v>784</v>
      </c>
      <c r="N129" t="s">
        <v>787</v>
      </c>
      <c r="O129">
        <v>13.17</v>
      </c>
      <c r="P129">
        <v>175.8</v>
      </c>
      <c r="Q129">
        <v>173</v>
      </c>
      <c r="R129">
        <v>42.1</v>
      </c>
      <c r="S129">
        <v>154.1</v>
      </c>
      <c r="T129">
        <v>0</v>
      </c>
      <c r="U129" t="s">
        <v>796</v>
      </c>
      <c r="V129">
        <v>13</v>
      </c>
      <c r="W129">
        <v>0.16</v>
      </c>
      <c r="X129" t="s">
        <v>805</v>
      </c>
      <c r="Y129">
        <v>87.66</v>
      </c>
      <c r="Z129" t="s">
        <v>811</v>
      </c>
      <c r="AA129">
        <v>34.542901861333931</v>
      </c>
      <c r="AB129">
        <v>34.105868527685828</v>
      </c>
      <c r="AC129">
        <v>37.529772503338634</v>
      </c>
      <c r="AD129">
        <v>36.532524610664503</v>
      </c>
      <c r="AE129">
        <v>24.316298968202197</v>
      </c>
      <c r="AF129">
        <v>23.829050774081864</v>
      </c>
      <c r="AG129">
        <v>37.338582503143712</v>
      </c>
      <c r="AH129">
        <v>5.2472158434766447</v>
      </c>
      <c r="AI129">
        <v>0.20432447610528737</v>
      </c>
      <c r="AJ129">
        <v>0.20432447610528737</v>
      </c>
      <c r="AK129">
        <v>2.2788320485586874E-2</v>
      </c>
      <c r="AL129">
        <v>2.0915187756348144</v>
      </c>
    </row>
    <row r="130" spans="1:38">
      <c r="A130" t="s">
        <v>19</v>
      </c>
      <c r="B130" t="s">
        <v>94</v>
      </c>
      <c r="C130">
        <v>240327</v>
      </c>
      <c r="D130" t="s">
        <v>229</v>
      </c>
      <c r="E130" t="s">
        <v>560</v>
      </c>
      <c r="F130" t="s">
        <v>765</v>
      </c>
      <c r="G130">
        <v>1.67</v>
      </c>
      <c r="H130">
        <v>54.4</v>
      </c>
      <c r="I130">
        <v>21.9</v>
      </c>
      <c r="J130">
        <v>33.6</v>
      </c>
      <c r="K130">
        <v>10</v>
      </c>
      <c r="L130">
        <v>49</v>
      </c>
      <c r="M130" t="s">
        <v>780</v>
      </c>
      <c r="N130" t="s">
        <v>787</v>
      </c>
      <c r="O130">
        <v>13.9</v>
      </c>
      <c r="P130">
        <v>183.9</v>
      </c>
      <c r="Q130">
        <v>178</v>
      </c>
      <c r="R130">
        <v>53.8</v>
      </c>
      <c r="S130">
        <v>163.5</v>
      </c>
      <c r="T130">
        <v>0</v>
      </c>
      <c r="U130" t="s">
        <v>796</v>
      </c>
      <c r="V130">
        <v>13.1</v>
      </c>
      <c r="W130">
        <v>0.79</v>
      </c>
      <c r="X130" t="s">
        <v>805</v>
      </c>
      <c r="Y130">
        <v>88.91</v>
      </c>
      <c r="Z130" t="s">
        <v>811</v>
      </c>
      <c r="AA130">
        <v>39.318890457692483</v>
      </c>
      <c r="AB130">
        <v>38.702592561075924</v>
      </c>
      <c r="AC130">
        <v>41.464203631525137</v>
      </c>
      <c r="AD130">
        <v>43.299687546929739</v>
      </c>
      <c r="AE130">
        <v>26.639666715813298</v>
      </c>
      <c r="AF130">
        <v>26.657550794195789</v>
      </c>
      <c r="AG130">
        <v>38.787171880809112</v>
      </c>
      <c r="AH130">
        <v>6.7164362796501056</v>
      </c>
      <c r="AI130">
        <v>0.33253213121006331</v>
      </c>
      <c r="AJ130">
        <v>0.33253213121006331</v>
      </c>
      <c r="AK130">
        <v>3.3690784444612314E-2</v>
      </c>
      <c r="AL130">
        <v>2.6771440328125626</v>
      </c>
    </row>
    <row r="131" spans="1:38">
      <c r="A131" t="s">
        <v>22</v>
      </c>
      <c r="B131" t="s">
        <v>95</v>
      </c>
      <c r="C131">
        <v>240319</v>
      </c>
      <c r="D131" t="s">
        <v>230</v>
      </c>
      <c r="E131" t="s">
        <v>561</v>
      </c>
      <c r="F131" t="s">
        <v>765</v>
      </c>
      <c r="G131">
        <v>1.6850000000000001</v>
      </c>
      <c r="H131">
        <v>54.2</v>
      </c>
      <c r="I131">
        <v>25.2</v>
      </c>
      <c r="J131">
        <v>32.799999999999997</v>
      </c>
      <c r="K131">
        <v>10.3</v>
      </c>
      <c r="L131">
        <v>48.2</v>
      </c>
      <c r="M131" t="s">
        <v>783</v>
      </c>
      <c r="N131" t="s">
        <v>787</v>
      </c>
      <c r="O131">
        <v>15.1</v>
      </c>
      <c r="P131">
        <v>177.4</v>
      </c>
      <c r="Q131">
        <v>172.5</v>
      </c>
      <c r="R131">
        <v>54</v>
      </c>
      <c r="S131">
        <v>167.4</v>
      </c>
      <c r="T131">
        <v>0</v>
      </c>
      <c r="U131" t="s">
        <v>796</v>
      </c>
      <c r="V131">
        <v>14.1</v>
      </c>
      <c r="W131">
        <v>0.97</v>
      </c>
      <c r="X131" t="s">
        <v>805</v>
      </c>
      <c r="Y131">
        <v>94.36</v>
      </c>
      <c r="Z131" t="s">
        <v>813</v>
      </c>
      <c r="AA131">
        <v>38.735694053897888</v>
      </c>
      <c r="AB131">
        <v>37.777438764640259</v>
      </c>
      <c r="AC131">
        <v>43.46636183122213</v>
      </c>
      <c r="AD131">
        <v>42.792730767773797</v>
      </c>
      <c r="AE131">
        <v>26.732483117155557</v>
      </c>
      <c r="AF131">
        <v>26.847526098663337</v>
      </c>
      <c r="AG131">
        <v>41.324602090703543</v>
      </c>
      <c r="AH131">
        <v>6.6917434992102161</v>
      </c>
      <c r="AI131">
        <v>0.32220859915143923</v>
      </c>
      <c r="AJ131">
        <v>0.32220859915143923</v>
      </c>
      <c r="AK131">
        <v>3.7673969857624112E-2</v>
      </c>
      <c r="AL131">
        <v>2.6673015915154576</v>
      </c>
    </row>
    <row r="132" spans="1:38">
      <c r="A132" t="s">
        <v>24</v>
      </c>
      <c r="B132" t="s">
        <v>95</v>
      </c>
      <c r="C132">
        <v>240322</v>
      </c>
      <c r="D132" t="s">
        <v>231</v>
      </c>
      <c r="E132" t="s">
        <v>562</v>
      </c>
      <c r="F132" t="s">
        <v>765</v>
      </c>
      <c r="G132">
        <v>1.6840000000000002</v>
      </c>
      <c r="H132">
        <v>60.4</v>
      </c>
      <c r="I132">
        <v>24.1</v>
      </c>
      <c r="J132">
        <v>36.5</v>
      </c>
      <c r="K132">
        <v>10.5</v>
      </c>
      <c r="L132">
        <v>52.9</v>
      </c>
      <c r="M132" t="s">
        <v>783</v>
      </c>
      <c r="N132" t="s">
        <v>787</v>
      </c>
      <c r="O132">
        <v>14.53</v>
      </c>
      <c r="P132">
        <v>182.1</v>
      </c>
      <c r="Q132">
        <v>176.2</v>
      </c>
      <c r="R132">
        <v>59.9</v>
      </c>
      <c r="S132">
        <v>167.2</v>
      </c>
      <c r="T132">
        <v>0</v>
      </c>
      <c r="U132" t="s">
        <v>797</v>
      </c>
      <c r="V132">
        <v>14</v>
      </c>
      <c r="W132">
        <v>0.56999999999999995</v>
      </c>
      <c r="X132" t="s">
        <v>805</v>
      </c>
      <c r="Y132">
        <v>91.82</v>
      </c>
      <c r="Z132" t="s">
        <v>812</v>
      </c>
      <c r="AA132">
        <v>38.474623441384438</v>
      </c>
      <c r="AB132">
        <v>37.642335418107592</v>
      </c>
      <c r="AC132">
        <v>40.855684859916416</v>
      </c>
      <c r="AD132">
        <v>40.409430704006311</v>
      </c>
      <c r="AE132">
        <v>20.865347807286685</v>
      </c>
      <c r="AF132">
        <v>25.881389302454352</v>
      </c>
      <c r="AG132">
        <v>42.626482871093081</v>
      </c>
      <c r="AH132">
        <v>7.4572196928468086</v>
      </c>
      <c r="AI132">
        <v>0.3647578923068524</v>
      </c>
      <c r="AJ132">
        <v>0.3647578923068524</v>
      </c>
      <c r="AK132">
        <v>3.5525523523119218E-2</v>
      </c>
      <c r="AL132">
        <v>2.9724172717257127</v>
      </c>
    </row>
    <row r="133" spans="1:38">
      <c r="A133" t="s">
        <v>25</v>
      </c>
      <c r="B133" t="s">
        <v>95</v>
      </c>
      <c r="C133">
        <v>240319</v>
      </c>
      <c r="D133" t="s">
        <v>232</v>
      </c>
      <c r="E133" t="s">
        <v>563</v>
      </c>
      <c r="F133" t="s">
        <v>765</v>
      </c>
      <c r="G133">
        <v>1.68</v>
      </c>
      <c r="H133">
        <v>58.7</v>
      </c>
      <c r="I133">
        <v>25.1</v>
      </c>
      <c r="J133">
        <v>34.6</v>
      </c>
      <c r="K133">
        <v>9.8000000000000007</v>
      </c>
      <c r="L133">
        <v>52.4</v>
      </c>
      <c r="M133" t="s">
        <v>778</v>
      </c>
      <c r="N133" t="s">
        <v>787</v>
      </c>
      <c r="O133">
        <v>15.01</v>
      </c>
      <c r="P133">
        <v>176.8</v>
      </c>
      <c r="Q133">
        <v>171.5</v>
      </c>
      <c r="R133">
        <v>59.3</v>
      </c>
      <c r="S133">
        <v>166.4</v>
      </c>
      <c r="T133">
        <v>0</v>
      </c>
      <c r="U133" t="s">
        <v>796</v>
      </c>
      <c r="V133">
        <v>14.2</v>
      </c>
      <c r="W133">
        <v>0.79</v>
      </c>
      <c r="X133" t="s">
        <v>805</v>
      </c>
      <c r="Y133">
        <v>94.12</v>
      </c>
      <c r="Z133" t="s">
        <v>813</v>
      </c>
      <c r="AA133">
        <v>38.46943281015951</v>
      </c>
      <c r="AB133">
        <v>39.625602692307048</v>
      </c>
      <c r="AC133">
        <v>40.171271012552687</v>
      </c>
      <c r="AD133">
        <v>39.991499068509093</v>
      </c>
      <c r="AE133">
        <v>25.650065405374825</v>
      </c>
      <c r="AF133">
        <v>25.664091603867654</v>
      </c>
      <c r="AG133">
        <v>40.912891847486748</v>
      </c>
      <c r="AH133">
        <v>7.2473310591077427</v>
      </c>
      <c r="AI133">
        <v>0.35610388503396395</v>
      </c>
      <c r="AJ133">
        <v>0.35610388503396395</v>
      </c>
      <c r="AK133">
        <v>3.1774603520378364E-2</v>
      </c>
      <c r="AL133">
        <v>2.8887565207003205</v>
      </c>
    </row>
    <row r="134" spans="1:38">
      <c r="A134" t="s">
        <v>27</v>
      </c>
      <c r="B134" t="s">
        <v>95</v>
      </c>
      <c r="C134">
        <v>240322</v>
      </c>
      <c r="D134" t="s">
        <v>233</v>
      </c>
      <c r="E134" t="s">
        <v>564</v>
      </c>
      <c r="F134" t="s">
        <v>765</v>
      </c>
      <c r="G134">
        <v>1.5959999999999999</v>
      </c>
      <c r="H134">
        <v>42.5</v>
      </c>
      <c r="I134">
        <v>19.8</v>
      </c>
      <c r="J134">
        <v>30.2</v>
      </c>
      <c r="K134">
        <v>9.6</v>
      </c>
      <c r="L134">
        <v>42.1</v>
      </c>
      <c r="M134" t="s">
        <v>776</v>
      </c>
      <c r="N134" t="s">
        <v>787</v>
      </c>
      <c r="O134">
        <v>13.89</v>
      </c>
      <c r="P134">
        <v>177.2</v>
      </c>
      <c r="Q134">
        <v>171.5</v>
      </c>
      <c r="R134">
        <v>43.4</v>
      </c>
      <c r="S134">
        <v>158.80000000000001</v>
      </c>
      <c r="T134">
        <v>0</v>
      </c>
      <c r="U134" t="s">
        <v>799</v>
      </c>
      <c r="V134">
        <v>13.4</v>
      </c>
      <c r="W134">
        <v>0.46</v>
      </c>
      <c r="X134" t="s">
        <v>805</v>
      </c>
      <c r="Y134">
        <v>89.62</v>
      </c>
      <c r="Z134" t="s">
        <v>812</v>
      </c>
      <c r="AA134">
        <v>36.338282163563626</v>
      </c>
      <c r="AB134">
        <v>36.719442978693259</v>
      </c>
      <c r="AC134">
        <v>38.748434330542878</v>
      </c>
      <c r="AD134">
        <v>38.480718551267557</v>
      </c>
      <c r="AE134">
        <v>24.541446851725908</v>
      </c>
      <c r="AF134">
        <v>24.453966601296344</v>
      </c>
      <c r="AG134">
        <v>40.774744607321608</v>
      </c>
      <c r="AH134">
        <v>5.2472158434766447</v>
      </c>
      <c r="AI134">
        <v>0.21897208555066297</v>
      </c>
      <c r="AJ134">
        <v>0.21897208555066297</v>
      </c>
      <c r="AK134">
        <v>2.0850827613280141E-2</v>
      </c>
      <c r="AL134">
        <v>2.0915187756348144</v>
      </c>
    </row>
    <row r="135" spans="1:38">
      <c r="A135" t="s">
        <v>28</v>
      </c>
      <c r="B135" t="s">
        <v>95</v>
      </c>
      <c r="C135">
        <v>240322</v>
      </c>
      <c r="D135" t="s">
        <v>234</v>
      </c>
      <c r="E135" t="s">
        <v>565</v>
      </c>
      <c r="F135" t="s">
        <v>765</v>
      </c>
      <c r="G135">
        <v>1.69</v>
      </c>
      <c r="H135">
        <v>51.9</v>
      </c>
      <c r="I135">
        <v>25.8</v>
      </c>
      <c r="J135">
        <v>33.799999999999997</v>
      </c>
      <c r="K135">
        <v>10.5</v>
      </c>
      <c r="L135">
        <v>45.8</v>
      </c>
      <c r="M135" t="s">
        <v>783</v>
      </c>
      <c r="N135" t="s">
        <v>787</v>
      </c>
      <c r="O135">
        <v>14.39</v>
      </c>
      <c r="P135">
        <v>184.3</v>
      </c>
      <c r="Q135">
        <v>180.6</v>
      </c>
      <c r="R135">
        <v>52.4</v>
      </c>
      <c r="S135">
        <v>167.7</v>
      </c>
      <c r="T135">
        <v>0</v>
      </c>
      <c r="U135" t="s">
        <v>799</v>
      </c>
      <c r="V135">
        <v>13.5</v>
      </c>
      <c r="W135">
        <v>0.94</v>
      </c>
      <c r="X135" t="s">
        <v>805</v>
      </c>
      <c r="Y135">
        <v>90.99</v>
      </c>
      <c r="Z135" t="s">
        <v>812</v>
      </c>
      <c r="AA135">
        <v>40.154632274306323</v>
      </c>
      <c r="AB135">
        <v>40.288328904101142</v>
      </c>
      <c r="AC135">
        <v>42.512981182485355</v>
      </c>
      <c r="AD135">
        <v>41.599854436681987</v>
      </c>
      <c r="AE135">
        <v>25.344894062553017</v>
      </c>
      <c r="AF135">
        <v>25.302186780386112</v>
      </c>
      <c r="AG135">
        <v>40.220589115826904</v>
      </c>
      <c r="AH135">
        <v>6.4077765241514797</v>
      </c>
      <c r="AI135">
        <v>0.31594331093600631</v>
      </c>
      <c r="AJ135">
        <v>0.31594331093600631</v>
      </c>
      <c r="AK135">
        <v>3.1848033364079681E-2</v>
      </c>
      <c r="AL135">
        <v>2.5541135165987496</v>
      </c>
    </row>
    <row r="136" spans="1:38">
      <c r="A136" t="s">
        <v>30</v>
      </c>
      <c r="B136" t="s">
        <v>95</v>
      </c>
      <c r="C136">
        <v>240319</v>
      </c>
      <c r="D136" t="s">
        <v>235</v>
      </c>
      <c r="E136" t="s">
        <v>566</v>
      </c>
      <c r="F136" t="s">
        <v>765</v>
      </c>
      <c r="G136">
        <v>1.8080000000000001</v>
      </c>
      <c r="H136">
        <v>62</v>
      </c>
      <c r="I136">
        <v>24.6</v>
      </c>
      <c r="J136">
        <v>34</v>
      </c>
      <c r="K136">
        <v>10.199999999999999</v>
      </c>
      <c r="L136">
        <v>48.9</v>
      </c>
      <c r="M136" t="s">
        <v>780</v>
      </c>
      <c r="N136" t="s">
        <v>787</v>
      </c>
      <c r="O136">
        <v>16.329999999999998</v>
      </c>
      <c r="P136">
        <v>187.2</v>
      </c>
      <c r="Q136">
        <v>183.1</v>
      </c>
      <c r="R136">
        <v>61.9</v>
      </c>
      <c r="S136">
        <v>179.8</v>
      </c>
      <c r="T136">
        <v>0</v>
      </c>
      <c r="U136" t="s">
        <v>796</v>
      </c>
      <c r="V136">
        <v>14</v>
      </c>
      <c r="W136">
        <v>2.35</v>
      </c>
      <c r="X136" t="s">
        <v>804</v>
      </c>
      <c r="Y136">
        <v>96.05</v>
      </c>
      <c r="Z136" t="s">
        <v>813</v>
      </c>
      <c r="AA136">
        <v>41.143989180223699</v>
      </c>
      <c r="AB136">
        <v>40.39454432095031</v>
      </c>
      <c r="AC136">
        <v>46.105691094434562</v>
      </c>
      <c r="AD136">
        <v>45.925429624046373</v>
      </c>
      <c r="AE136">
        <v>26.651317318251309</v>
      </c>
      <c r="AF136">
        <v>26.382573718013248</v>
      </c>
      <c r="AG136">
        <v>45.513534922391692</v>
      </c>
      <c r="AH136">
        <v>7.6547619363659303</v>
      </c>
      <c r="AI136">
        <v>0.42673456299877444</v>
      </c>
      <c r="AJ136">
        <v>0.42673456299877444</v>
      </c>
      <c r="AK136">
        <v>3.8606595836063878E-2</v>
      </c>
      <c r="AL136">
        <v>3.051156802102553</v>
      </c>
    </row>
    <row r="137" spans="1:38">
      <c r="A137" t="s">
        <v>32</v>
      </c>
      <c r="B137" t="s">
        <v>96</v>
      </c>
      <c r="C137">
        <v>240326</v>
      </c>
      <c r="D137" t="s">
        <v>236</v>
      </c>
      <c r="E137" t="s">
        <v>567</v>
      </c>
      <c r="F137" t="s">
        <v>765</v>
      </c>
      <c r="G137">
        <v>1.78</v>
      </c>
      <c r="H137">
        <v>61.9</v>
      </c>
      <c r="I137">
        <v>22.7</v>
      </c>
      <c r="J137">
        <v>34.5</v>
      </c>
      <c r="K137">
        <v>10.199999999999999</v>
      </c>
      <c r="L137">
        <v>49.5</v>
      </c>
      <c r="M137" t="s">
        <v>782</v>
      </c>
      <c r="N137" t="s">
        <v>787</v>
      </c>
      <c r="O137">
        <v>16.22</v>
      </c>
      <c r="P137">
        <v>180.6</v>
      </c>
      <c r="Q137">
        <v>181.1</v>
      </c>
      <c r="R137">
        <v>62.7</v>
      </c>
      <c r="S137">
        <v>178.3</v>
      </c>
      <c r="T137">
        <v>0</v>
      </c>
      <c r="U137" t="s">
        <v>798</v>
      </c>
      <c r="V137">
        <v>14.6</v>
      </c>
      <c r="W137">
        <v>1.61</v>
      </c>
      <c r="X137" t="s">
        <v>806</v>
      </c>
      <c r="Y137">
        <v>98.73</v>
      </c>
      <c r="Z137" t="s">
        <v>814</v>
      </c>
      <c r="AA137">
        <v>40.524062857314348</v>
      </c>
      <c r="AB137">
        <v>39.504458914715542</v>
      </c>
      <c r="AC137">
        <v>44.340741434568351</v>
      </c>
      <c r="AD137">
        <v>44.213483363518193</v>
      </c>
      <c r="AE137">
        <v>26.570874516471388</v>
      </c>
      <c r="AF137">
        <v>25.682287033436449</v>
      </c>
      <c r="AG137">
        <v>47.357849572860417</v>
      </c>
      <c r="AH137">
        <v>7.6424155461459842</v>
      </c>
      <c r="AI137">
        <v>0.38764738611001182</v>
      </c>
      <c r="AJ137">
        <v>0.38764738611001182</v>
      </c>
      <c r="AK137">
        <v>3.2380380873935258E-2</v>
      </c>
      <c r="AL137">
        <v>3.0462355814540003</v>
      </c>
    </row>
    <row r="138" spans="1:38">
      <c r="A138" t="s">
        <v>35</v>
      </c>
      <c r="B138" t="s">
        <v>96</v>
      </c>
      <c r="C138">
        <v>240326</v>
      </c>
      <c r="D138" t="s">
        <v>237</v>
      </c>
      <c r="E138" t="s">
        <v>568</v>
      </c>
      <c r="F138" t="s">
        <v>765</v>
      </c>
      <c r="G138">
        <v>1.7250000000000001</v>
      </c>
      <c r="H138">
        <v>48.5</v>
      </c>
      <c r="I138">
        <v>21.3</v>
      </c>
      <c r="J138">
        <v>33</v>
      </c>
      <c r="K138">
        <v>10.199999999999999</v>
      </c>
      <c r="L138">
        <v>50.3</v>
      </c>
      <c r="M138" t="s">
        <v>782</v>
      </c>
      <c r="N138" t="s">
        <v>787</v>
      </c>
      <c r="O138">
        <v>15.79</v>
      </c>
      <c r="P138">
        <v>178.5</v>
      </c>
      <c r="Q138">
        <v>175.5</v>
      </c>
      <c r="R138">
        <v>59.3</v>
      </c>
      <c r="S138">
        <v>171.5</v>
      </c>
      <c r="T138">
        <v>0</v>
      </c>
      <c r="U138" t="s">
        <v>796</v>
      </c>
      <c r="V138">
        <v>15.1</v>
      </c>
      <c r="W138">
        <v>0.66</v>
      </c>
      <c r="X138" t="s">
        <v>805</v>
      </c>
      <c r="Y138">
        <v>96.08</v>
      </c>
      <c r="Z138" t="s">
        <v>813</v>
      </c>
      <c r="AA138">
        <v>39.285241529506507</v>
      </c>
      <c r="AB138">
        <v>38.637579241923568</v>
      </c>
      <c r="AC138">
        <v>41.621868298506051</v>
      </c>
      <c r="AD138">
        <v>43.554166943023226</v>
      </c>
      <c r="AE138">
        <v>25.507769053168925</v>
      </c>
      <c r="AF138">
        <v>25.547671084618418</v>
      </c>
      <c r="AG138">
        <v>43.558153454105742</v>
      </c>
      <c r="AH138">
        <v>5.9879992566733478</v>
      </c>
      <c r="AI138">
        <v>0.29425608970761707</v>
      </c>
      <c r="AJ138">
        <v>0.29425608970761707</v>
      </c>
      <c r="AK138">
        <v>2.4373763551002011E-2</v>
      </c>
      <c r="AL138">
        <v>2.3867920145479649</v>
      </c>
    </row>
    <row r="139" spans="1:38">
      <c r="A139" t="s">
        <v>36</v>
      </c>
      <c r="B139" t="s">
        <v>96</v>
      </c>
      <c r="C139">
        <v>240326</v>
      </c>
      <c r="D139" t="s">
        <v>238</v>
      </c>
      <c r="E139" t="s">
        <v>569</v>
      </c>
      <c r="F139" t="s">
        <v>765</v>
      </c>
      <c r="G139">
        <v>1.71</v>
      </c>
      <c r="H139">
        <v>59.6</v>
      </c>
      <c r="I139">
        <v>21.4</v>
      </c>
      <c r="J139">
        <v>33.5</v>
      </c>
      <c r="K139">
        <v>10.5</v>
      </c>
      <c r="L139">
        <v>50</v>
      </c>
      <c r="M139" t="s">
        <v>777</v>
      </c>
      <c r="N139" t="s">
        <v>788</v>
      </c>
      <c r="O139">
        <v>14.86</v>
      </c>
      <c r="P139">
        <v>181</v>
      </c>
      <c r="Q139">
        <v>177.5</v>
      </c>
      <c r="R139">
        <v>58.9</v>
      </c>
      <c r="S139">
        <v>170.2</v>
      </c>
      <c r="T139">
        <v>0</v>
      </c>
      <c r="U139" t="s">
        <v>799</v>
      </c>
      <c r="V139">
        <v>14.4</v>
      </c>
      <c r="W139">
        <v>0.49</v>
      </c>
      <c r="X139" t="s">
        <v>805</v>
      </c>
      <c r="Y139">
        <v>94.03</v>
      </c>
      <c r="Z139" t="s">
        <v>813</v>
      </c>
      <c r="AA139">
        <v>38.011594827986933</v>
      </c>
      <c r="AB139">
        <v>36.251615475869151</v>
      </c>
      <c r="AC139">
        <v>41.295762957000406</v>
      </c>
      <c r="AD139">
        <v>43.007504405527605</v>
      </c>
      <c r="AE139">
        <v>24.817730940245532</v>
      </c>
      <c r="AF139">
        <v>25.760804828084758</v>
      </c>
      <c r="AG139">
        <v>43.564282809301709</v>
      </c>
      <c r="AH139">
        <v>7.3584485710872478</v>
      </c>
      <c r="AI139">
        <v>0.32792247625329762</v>
      </c>
      <c r="AJ139">
        <v>0.32792247625329762</v>
      </c>
      <c r="AK139">
        <v>3.6313189404321995E-2</v>
      </c>
      <c r="AL139">
        <v>2.9330475065372927</v>
      </c>
    </row>
    <row r="140" spans="1:38">
      <c r="A140" t="s">
        <v>37</v>
      </c>
      <c r="B140" t="s">
        <v>96</v>
      </c>
      <c r="C140">
        <v>240326</v>
      </c>
      <c r="D140" t="s">
        <v>239</v>
      </c>
      <c r="E140" t="s">
        <v>570</v>
      </c>
      <c r="F140" t="s">
        <v>765</v>
      </c>
      <c r="G140">
        <v>1.72</v>
      </c>
      <c r="H140">
        <v>57.2</v>
      </c>
      <c r="I140">
        <v>21.8</v>
      </c>
      <c r="J140">
        <v>34</v>
      </c>
      <c r="K140">
        <v>9.8000000000000007</v>
      </c>
      <c r="L140">
        <v>47.9</v>
      </c>
      <c r="M140" t="s">
        <v>784</v>
      </c>
      <c r="N140" t="s">
        <v>787</v>
      </c>
      <c r="O140">
        <v>15.37</v>
      </c>
      <c r="P140">
        <v>178.7</v>
      </c>
      <c r="Q140">
        <v>174.7</v>
      </c>
      <c r="R140">
        <v>57.6</v>
      </c>
      <c r="S140">
        <v>170.2</v>
      </c>
      <c r="T140">
        <v>0</v>
      </c>
      <c r="U140" t="s">
        <v>799</v>
      </c>
      <c r="V140">
        <v>14.4</v>
      </c>
      <c r="W140">
        <v>0.99</v>
      </c>
      <c r="X140" t="s">
        <v>805</v>
      </c>
      <c r="Y140">
        <v>95.24</v>
      </c>
      <c r="Z140" t="s">
        <v>813</v>
      </c>
      <c r="AA140">
        <v>41.324343129696459</v>
      </c>
      <c r="AB140">
        <v>40.012099362499654</v>
      </c>
      <c r="AC140">
        <v>43.402235221802343</v>
      </c>
      <c r="AD140">
        <v>43.340410955299248</v>
      </c>
      <c r="AE140">
        <v>27.013259849733039</v>
      </c>
      <c r="AF140">
        <v>26.647497378786987</v>
      </c>
      <c r="AG140">
        <v>43.553960959058863</v>
      </c>
      <c r="AH140">
        <v>7.0621352058085671</v>
      </c>
      <c r="AI140">
        <v>0.37109014149440067</v>
      </c>
      <c r="AJ140">
        <v>0.37109014149440067</v>
      </c>
      <c r="AK140">
        <v>3.0375937591145524E-2</v>
      </c>
      <c r="AL140">
        <v>2.8149382109720329</v>
      </c>
    </row>
    <row r="141" spans="1:38">
      <c r="A141" t="s">
        <v>38</v>
      </c>
      <c r="B141" t="s">
        <v>96</v>
      </c>
      <c r="C141">
        <v>240326</v>
      </c>
      <c r="D141" t="s">
        <v>240</v>
      </c>
      <c r="E141" t="s">
        <v>571</v>
      </c>
      <c r="F141" t="s">
        <v>765</v>
      </c>
      <c r="G141">
        <v>1.768</v>
      </c>
      <c r="H141">
        <v>63.6</v>
      </c>
      <c r="I141">
        <v>22.3</v>
      </c>
      <c r="J141">
        <v>39</v>
      </c>
      <c r="K141">
        <v>10.1</v>
      </c>
      <c r="L141">
        <v>51.8</v>
      </c>
      <c r="M141" t="s">
        <v>776</v>
      </c>
      <c r="N141" t="s">
        <v>787</v>
      </c>
      <c r="O141">
        <v>16.079999999999998</v>
      </c>
      <c r="P141">
        <v>182.1</v>
      </c>
      <c r="Q141">
        <v>180.6</v>
      </c>
      <c r="R141">
        <v>64.3</v>
      </c>
      <c r="S141">
        <v>176.5</v>
      </c>
      <c r="T141">
        <v>0</v>
      </c>
      <c r="U141" t="s">
        <v>799</v>
      </c>
      <c r="V141">
        <v>14.4</v>
      </c>
      <c r="W141">
        <v>1.64</v>
      </c>
      <c r="X141" t="s">
        <v>806</v>
      </c>
      <c r="Y141">
        <v>96.92</v>
      </c>
      <c r="Z141" t="s">
        <v>813</v>
      </c>
      <c r="AH141">
        <v>7.8523041798850501</v>
      </c>
      <c r="AI141">
        <v>0.43694781337223826</v>
      </c>
      <c r="AJ141">
        <v>0.43694781337223826</v>
      </c>
      <c r="AK141">
        <v>3.6914108578118873E-2</v>
      </c>
      <c r="AL141">
        <v>3.1298963324793929</v>
      </c>
    </row>
    <row r="142" spans="1:38">
      <c r="A142" t="s">
        <v>39</v>
      </c>
      <c r="B142" t="s">
        <v>96</v>
      </c>
      <c r="C142">
        <v>240326</v>
      </c>
      <c r="D142" t="s">
        <v>241</v>
      </c>
      <c r="E142" t="s">
        <v>572</v>
      </c>
      <c r="F142" t="s">
        <v>765</v>
      </c>
      <c r="G142">
        <v>1.7749999999999999</v>
      </c>
      <c r="H142">
        <v>67.3</v>
      </c>
      <c r="I142">
        <v>25.2</v>
      </c>
      <c r="J142">
        <v>37.5</v>
      </c>
      <c r="K142">
        <v>9.6999999999999993</v>
      </c>
      <c r="L142">
        <v>52.5</v>
      </c>
      <c r="M142" t="s">
        <v>780</v>
      </c>
      <c r="N142" t="s">
        <v>787</v>
      </c>
      <c r="O142">
        <v>15.58</v>
      </c>
      <c r="P142">
        <v>182.1</v>
      </c>
      <c r="Q142">
        <v>181.4</v>
      </c>
      <c r="R142">
        <v>68.3</v>
      </c>
      <c r="S142">
        <v>177.4</v>
      </c>
      <c r="T142">
        <v>0</v>
      </c>
      <c r="U142" t="s">
        <v>797</v>
      </c>
      <c r="V142">
        <v>14.9</v>
      </c>
      <c r="W142">
        <v>0.69</v>
      </c>
      <c r="X142" t="s">
        <v>805</v>
      </c>
      <c r="Y142">
        <v>97.42</v>
      </c>
      <c r="Z142" t="s">
        <v>814</v>
      </c>
      <c r="AA142">
        <v>40.911992660497894</v>
      </c>
      <c r="AB142">
        <v>39.02731636098887</v>
      </c>
      <c r="AC142">
        <v>45.935980447426928</v>
      </c>
      <c r="AD142">
        <v>44.983477038475911</v>
      </c>
      <c r="AE142">
        <v>26.416123709598896</v>
      </c>
      <c r="AF142">
        <v>26.999883453012245</v>
      </c>
      <c r="AG142">
        <v>44.350283136460774</v>
      </c>
      <c r="AH142">
        <v>8.3091206180230177</v>
      </c>
      <c r="AI142">
        <v>0.42205614390283852</v>
      </c>
      <c r="AJ142">
        <v>0.42205614390283852</v>
      </c>
      <c r="AK142">
        <v>4.5505970982483074E-2</v>
      </c>
      <c r="AL142">
        <v>3.3119814964758358</v>
      </c>
    </row>
    <row r="143" spans="1:38">
      <c r="A143" t="s">
        <v>41</v>
      </c>
      <c r="B143" t="s">
        <v>96</v>
      </c>
      <c r="C143">
        <v>240326</v>
      </c>
      <c r="D143" t="s">
        <v>242</v>
      </c>
      <c r="E143" t="s">
        <v>573</v>
      </c>
      <c r="F143" t="s">
        <v>765</v>
      </c>
      <c r="G143">
        <v>1.74</v>
      </c>
      <c r="H143">
        <v>69</v>
      </c>
      <c r="I143">
        <v>24.4</v>
      </c>
      <c r="J143">
        <v>37.200000000000003</v>
      </c>
      <c r="K143">
        <v>10.5</v>
      </c>
      <c r="L143">
        <v>55.3</v>
      </c>
      <c r="M143" t="s">
        <v>778</v>
      </c>
      <c r="N143" t="s">
        <v>788</v>
      </c>
      <c r="O143">
        <v>15.7</v>
      </c>
      <c r="P143">
        <v>179.5</v>
      </c>
      <c r="Q143">
        <v>176.5</v>
      </c>
      <c r="R143">
        <v>69.5</v>
      </c>
      <c r="S143">
        <v>173</v>
      </c>
      <c r="T143">
        <v>0</v>
      </c>
      <c r="U143" t="s">
        <v>796</v>
      </c>
      <c r="V143">
        <v>15.3</v>
      </c>
      <c r="W143">
        <v>0.39</v>
      </c>
      <c r="X143" t="s">
        <v>805</v>
      </c>
      <c r="Y143">
        <v>96.38</v>
      </c>
      <c r="Z143" t="s">
        <v>813</v>
      </c>
      <c r="AA143">
        <v>37.820810151965055</v>
      </c>
      <c r="AB143">
        <v>39.346936146581797</v>
      </c>
      <c r="AC143">
        <v>42.274119176649506</v>
      </c>
      <c r="AD143">
        <v>42.335794611503545</v>
      </c>
      <c r="AE143">
        <v>27.25627439015792</v>
      </c>
      <c r="AF143">
        <v>27.317554156006615</v>
      </c>
      <c r="AG143">
        <v>45.780189540168649</v>
      </c>
      <c r="AH143">
        <v>8.5190092517620819</v>
      </c>
      <c r="AI143">
        <v>0.40848664593985384</v>
      </c>
      <c r="AJ143">
        <v>0.40848664593985384</v>
      </c>
      <c r="AK143">
        <v>4.6032482095548853E-2</v>
      </c>
      <c r="AL143">
        <v>3.395642247501228</v>
      </c>
    </row>
    <row r="144" spans="1:38">
      <c r="A144" t="s">
        <v>42</v>
      </c>
      <c r="B144" t="s">
        <v>96</v>
      </c>
      <c r="C144">
        <v>240326</v>
      </c>
      <c r="D144" t="s">
        <v>243</v>
      </c>
      <c r="E144" t="s">
        <v>574</v>
      </c>
      <c r="F144" t="s">
        <v>765</v>
      </c>
      <c r="G144">
        <v>1.575</v>
      </c>
      <c r="H144">
        <v>42.5</v>
      </c>
      <c r="I144">
        <v>21.5</v>
      </c>
      <c r="J144">
        <v>29.5</v>
      </c>
      <c r="K144">
        <v>9.6</v>
      </c>
      <c r="L144">
        <v>45.5</v>
      </c>
      <c r="M144" t="s">
        <v>782</v>
      </c>
      <c r="N144" t="s">
        <v>788</v>
      </c>
      <c r="O144">
        <v>13.2</v>
      </c>
      <c r="P144">
        <v>175.9</v>
      </c>
      <c r="Q144">
        <v>0</v>
      </c>
      <c r="R144">
        <v>41.9</v>
      </c>
      <c r="S144">
        <v>156.80000000000001</v>
      </c>
      <c r="T144">
        <v>0</v>
      </c>
      <c r="U144" t="s">
        <v>796</v>
      </c>
      <c r="V144">
        <v>15.1</v>
      </c>
      <c r="W144">
        <v>-1.89</v>
      </c>
      <c r="X144" t="s">
        <v>808</v>
      </c>
      <c r="Y144">
        <v>89.14</v>
      </c>
      <c r="Z144" t="s">
        <v>812</v>
      </c>
      <c r="AA144">
        <v>35.265581934562711</v>
      </c>
      <c r="AB144">
        <v>34.347656532473678</v>
      </c>
      <c r="AC144">
        <v>36.80375895493394</v>
      </c>
      <c r="AD144">
        <v>36.903205874398878</v>
      </c>
      <c r="AE144">
        <v>24.328689535005093</v>
      </c>
      <c r="AF144">
        <v>24.781721369141962</v>
      </c>
      <c r="AG144">
        <v>40.749338767544721</v>
      </c>
      <c r="AH144">
        <v>5.2472158434766447</v>
      </c>
      <c r="AI144">
        <v>0.20012472235293924</v>
      </c>
      <c r="AJ144">
        <v>0.20012472235293924</v>
      </c>
      <c r="AK144">
        <v>2.2957409303810215E-2</v>
      </c>
      <c r="AL144">
        <v>2.0915187756348144</v>
      </c>
    </row>
    <row r="145" spans="1:38">
      <c r="A145" t="s">
        <v>43</v>
      </c>
      <c r="B145" t="s">
        <v>96</v>
      </c>
      <c r="C145">
        <v>240326</v>
      </c>
      <c r="D145" t="s">
        <v>244</v>
      </c>
      <c r="E145" t="s">
        <v>575</v>
      </c>
      <c r="F145" t="s">
        <v>765</v>
      </c>
      <c r="G145">
        <v>1.758</v>
      </c>
      <c r="H145">
        <v>61.6</v>
      </c>
      <c r="I145">
        <v>25</v>
      </c>
      <c r="J145">
        <v>35.799999999999997</v>
      </c>
      <c r="K145">
        <v>10.1</v>
      </c>
      <c r="L145">
        <v>52.2</v>
      </c>
      <c r="M145" t="s">
        <v>783</v>
      </c>
      <c r="N145" t="s">
        <v>787</v>
      </c>
      <c r="O145">
        <v>16.079999999999998</v>
      </c>
      <c r="P145">
        <v>179.9</v>
      </c>
      <c r="Q145">
        <v>178.2</v>
      </c>
      <c r="R145">
        <v>61.5</v>
      </c>
      <c r="S145">
        <v>175.2</v>
      </c>
      <c r="T145">
        <v>0</v>
      </c>
      <c r="U145" t="s">
        <v>796</v>
      </c>
      <c r="V145">
        <v>15.1</v>
      </c>
      <c r="W145">
        <v>0.94</v>
      </c>
      <c r="X145" t="s">
        <v>805</v>
      </c>
      <c r="Y145">
        <v>97.39</v>
      </c>
      <c r="Z145" t="s">
        <v>814</v>
      </c>
      <c r="AA145">
        <v>39.305461740327203</v>
      </c>
      <c r="AB145">
        <v>40.301149927734365</v>
      </c>
      <c r="AC145">
        <v>43.420770158633431</v>
      </c>
      <c r="AD145">
        <v>44.574486361734941</v>
      </c>
      <c r="AE145">
        <v>27.737493010546263</v>
      </c>
      <c r="AF145">
        <v>27.296419930524213</v>
      </c>
      <c r="AG145">
        <v>44.273466601313928</v>
      </c>
      <c r="AH145">
        <v>7.6053763754861494</v>
      </c>
      <c r="AI145">
        <v>0.40083797035807822</v>
      </c>
      <c r="AJ145">
        <v>0.40083797035807822</v>
      </c>
      <c r="AK145">
        <v>3.7514274612356152E-2</v>
      </c>
      <c r="AL145">
        <v>3.031471919508343</v>
      </c>
    </row>
    <row r="146" spans="1:38">
      <c r="A146" t="s">
        <v>45</v>
      </c>
      <c r="B146" t="s">
        <v>97</v>
      </c>
      <c r="C146">
        <v>240321</v>
      </c>
      <c r="D146" t="s">
        <v>245</v>
      </c>
      <c r="E146" t="s">
        <v>576</v>
      </c>
      <c r="F146" t="s">
        <v>765</v>
      </c>
      <c r="G146">
        <v>1.925</v>
      </c>
      <c r="H146">
        <v>71.7</v>
      </c>
      <c r="I146">
        <v>25.5</v>
      </c>
      <c r="J146">
        <v>35.799999999999997</v>
      </c>
      <c r="K146">
        <v>10.7</v>
      </c>
      <c r="L146">
        <v>52.5</v>
      </c>
      <c r="M146" t="s">
        <v>776</v>
      </c>
      <c r="N146" t="s">
        <v>787</v>
      </c>
      <c r="O146">
        <v>17.68</v>
      </c>
      <c r="P146">
        <v>193</v>
      </c>
      <c r="Q146">
        <v>0</v>
      </c>
      <c r="R146">
        <v>74.3</v>
      </c>
      <c r="S146">
        <v>192.5</v>
      </c>
      <c r="T146">
        <v>0</v>
      </c>
      <c r="U146" t="s">
        <v>796</v>
      </c>
      <c r="V146">
        <v>16.3</v>
      </c>
      <c r="W146">
        <v>1.41</v>
      </c>
      <c r="X146" t="s">
        <v>806</v>
      </c>
      <c r="Y146">
        <v>99.74</v>
      </c>
      <c r="Z146" t="s">
        <v>814</v>
      </c>
      <c r="AA146">
        <v>46.401554309991973</v>
      </c>
      <c r="AB146">
        <v>46.756321319498738</v>
      </c>
      <c r="AC146">
        <v>46.953658283814903</v>
      </c>
      <c r="AD146">
        <v>45.800634714624039</v>
      </c>
      <c r="AE146">
        <v>28.620011205057502</v>
      </c>
      <c r="AF146">
        <v>27.867947042292325</v>
      </c>
      <c r="AG146">
        <v>50.827741794851029</v>
      </c>
      <c r="AH146">
        <v>8.8523617877006</v>
      </c>
      <c r="AI146">
        <v>0.61563832311125466</v>
      </c>
      <c r="AJ146">
        <v>0.61563832311125466</v>
      </c>
      <c r="AK146">
        <v>4.3404971761533032E-2</v>
      </c>
      <c r="AL146">
        <v>3.528515205012146</v>
      </c>
    </row>
    <row r="147" spans="1:38">
      <c r="A147" t="s">
        <v>47</v>
      </c>
      <c r="B147" t="s">
        <v>97</v>
      </c>
      <c r="C147">
        <v>240321</v>
      </c>
      <c r="D147" t="s">
        <v>246</v>
      </c>
      <c r="E147" t="s">
        <v>577</v>
      </c>
      <c r="F147" t="s">
        <v>765</v>
      </c>
      <c r="G147">
        <v>1.915</v>
      </c>
      <c r="H147">
        <v>84.1</v>
      </c>
      <c r="I147">
        <v>26</v>
      </c>
      <c r="J147">
        <v>38.5</v>
      </c>
      <c r="K147">
        <v>11.8</v>
      </c>
      <c r="L147">
        <v>56.3</v>
      </c>
      <c r="M147" t="s">
        <v>776</v>
      </c>
      <c r="N147" t="s">
        <v>787</v>
      </c>
      <c r="O147">
        <v>17.510000000000002</v>
      </c>
      <c r="P147">
        <v>192</v>
      </c>
      <c r="Q147">
        <v>192</v>
      </c>
      <c r="R147">
        <v>82.8</v>
      </c>
      <c r="S147">
        <v>0</v>
      </c>
      <c r="T147">
        <v>0</v>
      </c>
      <c r="U147" t="s">
        <v>796</v>
      </c>
      <c r="V147">
        <v>16.3</v>
      </c>
      <c r="W147">
        <v>1.25</v>
      </c>
      <c r="X147" t="s">
        <v>806</v>
      </c>
      <c r="Y147">
        <v>0</v>
      </c>
      <c r="Z147" t="s">
        <v>800</v>
      </c>
      <c r="AA147">
        <v>41.452614329063138</v>
      </c>
      <c r="AB147">
        <v>41.709971649795953</v>
      </c>
      <c r="AC147">
        <v>48.421769014433075</v>
      </c>
      <c r="AD147">
        <v>47.541285081872104</v>
      </c>
      <c r="AE147">
        <v>28.85365802324764</v>
      </c>
      <c r="AF147">
        <v>27.430419841218576</v>
      </c>
      <c r="AG147">
        <v>49.919019303381923</v>
      </c>
      <c r="AH147">
        <v>10.383314174973785</v>
      </c>
      <c r="AI147">
        <v>0.59973697467899312</v>
      </c>
      <c r="AJ147">
        <v>0.59973697467899312</v>
      </c>
      <c r="AK147">
        <v>6.2843236877983377E-2</v>
      </c>
      <c r="AL147">
        <v>4.1387465654326565</v>
      </c>
    </row>
    <row r="148" spans="1:38">
      <c r="A148" t="s">
        <v>48</v>
      </c>
      <c r="B148" t="s">
        <v>97</v>
      </c>
      <c r="C148">
        <v>240326</v>
      </c>
      <c r="D148" t="s">
        <v>247</v>
      </c>
      <c r="E148" t="s">
        <v>578</v>
      </c>
      <c r="F148" t="s">
        <v>765</v>
      </c>
      <c r="G148">
        <v>1.675</v>
      </c>
      <c r="H148">
        <v>53.1</v>
      </c>
      <c r="I148">
        <v>21.8</v>
      </c>
      <c r="J148">
        <v>33.4</v>
      </c>
      <c r="K148">
        <v>10</v>
      </c>
      <c r="L148">
        <v>48</v>
      </c>
      <c r="M148" t="s">
        <v>783</v>
      </c>
      <c r="N148" t="s">
        <v>788</v>
      </c>
      <c r="O148">
        <v>15.41</v>
      </c>
      <c r="P148">
        <v>173.8</v>
      </c>
      <c r="Q148">
        <v>170.1</v>
      </c>
      <c r="R148">
        <v>54.9</v>
      </c>
      <c r="S148">
        <v>165.9</v>
      </c>
      <c r="T148">
        <v>0</v>
      </c>
      <c r="U148" t="s">
        <v>796</v>
      </c>
      <c r="V148">
        <v>16.100000000000001</v>
      </c>
      <c r="W148">
        <v>-0.74</v>
      </c>
      <c r="X148" t="s">
        <v>805</v>
      </c>
      <c r="Y148">
        <v>95.45</v>
      </c>
      <c r="Z148" t="s">
        <v>813</v>
      </c>
      <c r="AA148">
        <v>35.227744861867222</v>
      </c>
      <c r="AB148">
        <v>36.277945886813129</v>
      </c>
      <c r="AC148">
        <v>39.740428790668105</v>
      </c>
      <c r="AD148">
        <v>38.299325072941379</v>
      </c>
      <c r="AE148">
        <v>26.022116514751978</v>
      </c>
      <c r="AF148">
        <v>24.773503758765937</v>
      </c>
      <c r="AG148">
        <v>43.527919325568988</v>
      </c>
      <c r="AH148">
        <v>6.5559332067908205</v>
      </c>
      <c r="AI148">
        <v>0.27882337662630119</v>
      </c>
      <c r="AJ148">
        <v>0.27882337662630119</v>
      </c>
      <c r="AK148">
        <v>2.3601825044152164E-2</v>
      </c>
      <c r="AL148">
        <v>2.6131681643813804</v>
      </c>
    </row>
    <row r="149" spans="1:38">
      <c r="A149" t="s">
        <v>50</v>
      </c>
      <c r="B149" t="s">
        <v>97</v>
      </c>
      <c r="C149">
        <v>240321</v>
      </c>
      <c r="D149" t="s">
        <v>248</v>
      </c>
      <c r="E149" t="s">
        <v>579</v>
      </c>
      <c r="F149" t="s">
        <v>765</v>
      </c>
      <c r="G149">
        <v>1.7669999999999999</v>
      </c>
      <c r="H149">
        <v>67.7</v>
      </c>
      <c r="I149">
        <v>26.7</v>
      </c>
      <c r="J149">
        <v>37</v>
      </c>
      <c r="K149">
        <v>10.1</v>
      </c>
      <c r="L149">
        <v>52.9</v>
      </c>
      <c r="M149" t="s">
        <v>778</v>
      </c>
      <c r="N149" t="s">
        <v>787</v>
      </c>
      <c r="O149">
        <v>16.489999999999998</v>
      </c>
      <c r="P149">
        <v>179.4</v>
      </c>
      <c r="Q149">
        <v>178.3</v>
      </c>
      <c r="R149">
        <v>67.400000000000006</v>
      </c>
      <c r="S149">
        <v>175.8</v>
      </c>
      <c r="T149">
        <v>0</v>
      </c>
      <c r="U149" t="s">
        <v>796</v>
      </c>
      <c r="V149">
        <v>16.2</v>
      </c>
      <c r="W149">
        <v>0.26</v>
      </c>
      <c r="X149" t="s">
        <v>805</v>
      </c>
      <c r="Y149">
        <v>97.99</v>
      </c>
      <c r="Z149" t="s">
        <v>814</v>
      </c>
      <c r="AA149">
        <v>40.85470055659534</v>
      </c>
      <c r="AB149">
        <v>43.118215965088226</v>
      </c>
      <c r="AC149">
        <v>41.256953887067056</v>
      </c>
      <c r="AD149">
        <v>39.882421934363656</v>
      </c>
      <c r="AE149">
        <v>25.976129220340926</v>
      </c>
      <c r="AF149">
        <v>24.989888219702802</v>
      </c>
      <c r="AG149">
        <v>44.492886367849636</v>
      </c>
      <c r="AH149">
        <v>8.3585061789027986</v>
      </c>
      <c r="AI149">
        <v>0.45677344886523186</v>
      </c>
      <c r="AJ149">
        <v>0.45677344886523186</v>
      </c>
      <c r="AK149">
        <v>4.1326863368807275E-2</v>
      </c>
      <c r="AL149">
        <v>3.3316663790700458</v>
      </c>
    </row>
    <row r="150" spans="1:38">
      <c r="A150" t="s">
        <v>51</v>
      </c>
      <c r="B150" t="s">
        <v>97</v>
      </c>
      <c r="C150">
        <v>240321</v>
      </c>
      <c r="D150" t="s">
        <v>249</v>
      </c>
      <c r="E150" t="s">
        <v>580</v>
      </c>
      <c r="F150" t="s">
        <v>765</v>
      </c>
      <c r="G150">
        <v>1.8049999999999999</v>
      </c>
      <c r="H150">
        <v>75.8</v>
      </c>
      <c r="I150">
        <v>25</v>
      </c>
      <c r="J150">
        <v>38.1</v>
      </c>
      <c r="K150">
        <v>10.4</v>
      </c>
      <c r="L150">
        <v>53.5</v>
      </c>
      <c r="M150" t="s">
        <v>780</v>
      </c>
      <c r="N150" t="s">
        <v>787</v>
      </c>
      <c r="O150">
        <v>17.18</v>
      </c>
      <c r="P150">
        <v>181</v>
      </c>
      <c r="Q150">
        <v>0</v>
      </c>
      <c r="R150">
        <v>74.900000000000006</v>
      </c>
      <c r="S150">
        <v>180</v>
      </c>
      <c r="T150">
        <v>0</v>
      </c>
      <c r="U150" t="s">
        <v>797</v>
      </c>
      <c r="V150">
        <v>16</v>
      </c>
      <c r="W150">
        <v>1.1399999999999999</v>
      </c>
      <c r="X150" t="s">
        <v>806</v>
      </c>
      <c r="Y150">
        <v>99.45</v>
      </c>
      <c r="Z150" t="s">
        <v>814</v>
      </c>
      <c r="AA150">
        <v>41.851774891687839</v>
      </c>
      <c r="AB150">
        <v>39.537185202983267</v>
      </c>
      <c r="AC150">
        <v>43.652596594536142</v>
      </c>
      <c r="AD150">
        <v>43.73860845147793</v>
      </c>
      <c r="AE150">
        <v>24.541215267302931</v>
      </c>
      <c r="AF150">
        <v>26.20242252170042</v>
      </c>
      <c r="AG150">
        <v>48.416791103744401</v>
      </c>
      <c r="AH150">
        <v>9.3585637867183458</v>
      </c>
      <c r="AI150">
        <v>0.50071941460525193</v>
      </c>
      <c r="AJ150">
        <v>0.50071941460525193</v>
      </c>
      <c r="AK150">
        <v>5.0346221631070019E-2</v>
      </c>
      <c r="AL150">
        <v>3.7302852516027989</v>
      </c>
    </row>
    <row r="151" spans="1:38">
      <c r="A151" t="s">
        <v>53</v>
      </c>
      <c r="B151" t="s">
        <v>96</v>
      </c>
      <c r="C151">
        <v>240326</v>
      </c>
      <c r="D151" t="s">
        <v>250</v>
      </c>
      <c r="E151" t="s">
        <v>581</v>
      </c>
      <c r="F151" t="s">
        <v>765</v>
      </c>
      <c r="G151">
        <v>1.758</v>
      </c>
      <c r="H151">
        <v>72.900000000000006</v>
      </c>
      <c r="I151">
        <v>24</v>
      </c>
      <c r="J151">
        <v>38</v>
      </c>
      <c r="K151">
        <v>10.4</v>
      </c>
      <c r="L151">
        <v>56.2</v>
      </c>
      <c r="M151" t="s">
        <v>781</v>
      </c>
      <c r="N151" t="s">
        <v>788</v>
      </c>
      <c r="O151">
        <v>15.99</v>
      </c>
      <c r="P151">
        <v>181.2</v>
      </c>
      <c r="Q151">
        <v>179.2</v>
      </c>
      <c r="R151">
        <v>72.8</v>
      </c>
      <c r="S151">
        <v>175.6</v>
      </c>
      <c r="T151">
        <v>0</v>
      </c>
      <c r="U151" t="s">
        <v>796</v>
      </c>
      <c r="V151">
        <v>15</v>
      </c>
      <c r="W151">
        <v>0.96</v>
      </c>
      <c r="X151" t="s">
        <v>805</v>
      </c>
      <c r="Y151">
        <v>96.91</v>
      </c>
      <c r="Z151" t="s">
        <v>813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 t="s">
        <v>55</v>
      </c>
      <c r="B152" t="s">
        <v>95</v>
      </c>
      <c r="C152">
        <v>240322</v>
      </c>
      <c r="D152" t="s">
        <v>251</v>
      </c>
      <c r="E152" t="s">
        <v>582</v>
      </c>
      <c r="F152" t="s">
        <v>765</v>
      </c>
      <c r="G152">
        <v>1.734</v>
      </c>
      <c r="H152">
        <v>53.3</v>
      </c>
      <c r="I152">
        <v>21.5</v>
      </c>
      <c r="J152">
        <v>31</v>
      </c>
      <c r="K152">
        <v>9.4</v>
      </c>
      <c r="L152">
        <v>45.4</v>
      </c>
      <c r="M152" t="s">
        <v>777</v>
      </c>
      <c r="N152" t="s">
        <v>788</v>
      </c>
      <c r="O152">
        <v>15.37</v>
      </c>
      <c r="P152">
        <v>181</v>
      </c>
      <c r="Q152">
        <v>177.1</v>
      </c>
      <c r="R152">
        <v>52.6</v>
      </c>
      <c r="S152">
        <v>171.6</v>
      </c>
      <c r="T152">
        <v>0</v>
      </c>
      <c r="U152" t="s">
        <v>796</v>
      </c>
      <c r="V152">
        <v>14</v>
      </c>
      <c r="W152">
        <v>1.32</v>
      </c>
      <c r="X152" t="s">
        <v>806</v>
      </c>
      <c r="Y152">
        <v>94.81</v>
      </c>
      <c r="Z152" t="s">
        <v>813</v>
      </c>
      <c r="AA152">
        <v>40.164278477557552</v>
      </c>
      <c r="AB152">
        <v>40.231215242679887</v>
      </c>
      <c r="AC152">
        <v>42.444405179488733</v>
      </c>
      <c r="AD152">
        <v>44.186869679822493</v>
      </c>
      <c r="AE152">
        <v>24.894596821148532</v>
      </c>
      <c r="AF152">
        <v>25.368203472115805</v>
      </c>
      <c r="AG152">
        <v>43.153160881155024</v>
      </c>
      <c r="AH152">
        <v>6.58062598723071</v>
      </c>
      <c r="AI152">
        <v>0.34766030266721859</v>
      </c>
      <c r="AJ152">
        <v>0.34766030266721859</v>
      </c>
      <c r="AK152">
        <v>2.6690220004208901E-2</v>
      </c>
      <c r="AL152">
        <v>2.623010605678485</v>
      </c>
    </row>
    <row r="153" spans="1:38">
      <c r="A153" t="s">
        <v>57</v>
      </c>
      <c r="B153" t="s">
        <v>95</v>
      </c>
      <c r="C153">
        <v>240322</v>
      </c>
      <c r="D153" t="s">
        <v>252</v>
      </c>
      <c r="E153" t="s">
        <v>583</v>
      </c>
      <c r="F153" t="s">
        <v>765</v>
      </c>
      <c r="G153">
        <v>1.778</v>
      </c>
      <c r="H153">
        <v>70.7</v>
      </c>
      <c r="I153">
        <v>26.4</v>
      </c>
      <c r="J153">
        <v>36.6</v>
      </c>
      <c r="K153">
        <v>11.4</v>
      </c>
      <c r="L153">
        <v>51.8</v>
      </c>
      <c r="M153" t="s">
        <v>783</v>
      </c>
      <c r="N153" t="s">
        <v>788</v>
      </c>
      <c r="O153">
        <v>16.03</v>
      </c>
      <c r="P153">
        <v>182.7</v>
      </c>
      <c r="Q153">
        <v>180.6</v>
      </c>
      <c r="R153">
        <v>71.5</v>
      </c>
      <c r="S153">
        <v>176.8</v>
      </c>
      <c r="T153">
        <v>0</v>
      </c>
      <c r="U153" t="s">
        <v>796</v>
      </c>
      <c r="V153">
        <v>14.2</v>
      </c>
      <c r="W153">
        <v>1.87</v>
      </c>
      <c r="X153" t="s">
        <v>806</v>
      </c>
      <c r="Y153">
        <v>96.77</v>
      </c>
      <c r="Z153" t="s">
        <v>813</v>
      </c>
      <c r="AA153">
        <v>38.737837335160052</v>
      </c>
      <c r="AB153">
        <v>38.189395631151868</v>
      </c>
      <c r="AC153">
        <v>42.441053230350228</v>
      </c>
      <c r="AD153">
        <v>45.130934876319117</v>
      </c>
      <c r="AE153">
        <v>27.820937227154378</v>
      </c>
      <c r="AF153">
        <v>28.195217223624731</v>
      </c>
      <c r="AG153">
        <v>48.244131106772315</v>
      </c>
      <c r="AH153">
        <v>8.7288978855011496</v>
      </c>
      <c r="AI153">
        <v>0.42731056541632273</v>
      </c>
      <c r="AJ153">
        <v>0.42731056541632273</v>
      </c>
      <c r="AK153">
        <v>4.5788204548957198E-2</v>
      </c>
      <c r="AL153">
        <v>3.4793029985266211</v>
      </c>
    </row>
    <row r="154" spans="1:38">
      <c r="A154" t="s">
        <v>58</v>
      </c>
      <c r="B154" t="s">
        <v>94</v>
      </c>
      <c r="C154">
        <v>240327</v>
      </c>
      <c r="D154" t="s">
        <v>253</v>
      </c>
      <c r="E154" t="s">
        <v>584</v>
      </c>
      <c r="F154" t="s">
        <v>765</v>
      </c>
      <c r="G154">
        <v>1.64</v>
      </c>
      <c r="H154">
        <v>44.2</v>
      </c>
      <c r="I154">
        <v>20.5</v>
      </c>
      <c r="J154">
        <v>31.8</v>
      </c>
      <c r="K154">
        <v>9.1999999999999993</v>
      </c>
      <c r="L154">
        <v>45.3</v>
      </c>
      <c r="M154" t="s">
        <v>779</v>
      </c>
      <c r="N154" t="s">
        <v>787</v>
      </c>
      <c r="O154">
        <v>13.65</v>
      </c>
      <c r="P154">
        <v>183.7</v>
      </c>
      <c r="Q154">
        <v>179.4</v>
      </c>
      <c r="R154">
        <v>46.1</v>
      </c>
      <c r="S154">
        <v>163.6</v>
      </c>
      <c r="T154">
        <v>0</v>
      </c>
      <c r="U154" t="s">
        <v>796</v>
      </c>
      <c r="V154">
        <v>13.1</v>
      </c>
      <c r="W154">
        <v>0.56999999999999995</v>
      </c>
      <c r="X154" t="s">
        <v>805</v>
      </c>
      <c r="Y154">
        <v>89.06</v>
      </c>
      <c r="Z154" t="s">
        <v>812</v>
      </c>
      <c r="AA154">
        <v>35.097305454892904</v>
      </c>
      <c r="AB154">
        <v>35.367529733790569</v>
      </c>
      <c r="AC154">
        <v>40.747311251425074</v>
      </c>
      <c r="AD154">
        <v>41.641007115650815</v>
      </c>
      <c r="AE154">
        <v>26.736448466846923</v>
      </c>
      <c r="AF154">
        <v>25.294258714429567</v>
      </c>
      <c r="AG154">
        <v>39.151470264298922</v>
      </c>
      <c r="AH154">
        <v>5.4571044772157116</v>
      </c>
      <c r="AI154">
        <v>0.22646928168734576</v>
      </c>
      <c r="AJ154">
        <v>0.22646928168734576</v>
      </c>
      <c r="AK154">
        <v>2.5786502785821976E-2</v>
      </c>
      <c r="AL154">
        <v>2.1751795266602074</v>
      </c>
    </row>
    <row r="155" spans="1:38">
      <c r="A155" t="s">
        <v>59</v>
      </c>
      <c r="B155" t="s">
        <v>94</v>
      </c>
      <c r="C155">
        <v>240327</v>
      </c>
      <c r="D155" t="s">
        <v>254</v>
      </c>
      <c r="E155" t="s">
        <v>585</v>
      </c>
      <c r="F155" t="s">
        <v>765</v>
      </c>
      <c r="G155">
        <v>1.4350000000000001</v>
      </c>
      <c r="H155">
        <v>36.799999999999997</v>
      </c>
      <c r="I155">
        <v>19.5</v>
      </c>
      <c r="J155">
        <v>30.5</v>
      </c>
      <c r="K155">
        <v>9.1</v>
      </c>
      <c r="L155">
        <v>41.9</v>
      </c>
      <c r="M155" t="s">
        <v>783</v>
      </c>
      <c r="N155" t="s">
        <v>787</v>
      </c>
      <c r="O155">
        <v>11.52</v>
      </c>
      <c r="P155">
        <v>170.6</v>
      </c>
      <c r="Q155">
        <v>171.9</v>
      </c>
      <c r="R155">
        <v>37.6</v>
      </c>
      <c r="S155">
        <v>143.19999999999999</v>
      </c>
      <c r="T155">
        <v>0</v>
      </c>
      <c r="U155" t="s">
        <v>798</v>
      </c>
      <c r="V155">
        <v>12.6</v>
      </c>
      <c r="W155">
        <v>-1.1200000000000001</v>
      </c>
      <c r="X155" t="s">
        <v>808</v>
      </c>
      <c r="Y155">
        <v>83.94</v>
      </c>
      <c r="Z155" t="s">
        <v>811</v>
      </c>
      <c r="AA155">
        <v>0</v>
      </c>
      <c r="AB155">
        <v>0</v>
      </c>
      <c r="AC155">
        <v>34.826821516155853</v>
      </c>
      <c r="AD155">
        <v>35.732960351837427</v>
      </c>
      <c r="AE155">
        <v>23.011404130455606</v>
      </c>
      <c r="AF155">
        <v>23.084119668234454</v>
      </c>
      <c r="AG155">
        <v>35.5517990200605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 t="s">
        <v>60</v>
      </c>
      <c r="B156" t="s">
        <v>94</v>
      </c>
      <c r="C156">
        <v>240327</v>
      </c>
      <c r="D156" t="s">
        <v>255</v>
      </c>
      <c r="E156" t="s">
        <v>586</v>
      </c>
      <c r="F156" t="s">
        <v>765</v>
      </c>
      <c r="G156">
        <v>1.5880000000000001</v>
      </c>
      <c r="H156">
        <v>41.8</v>
      </c>
      <c r="I156">
        <v>20.399999999999999</v>
      </c>
      <c r="J156">
        <v>29.8</v>
      </c>
      <c r="K156">
        <v>9</v>
      </c>
      <c r="L156">
        <v>41.4</v>
      </c>
      <c r="M156" t="s">
        <v>783</v>
      </c>
      <c r="N156" t="s">
        <v>787</v>
      </c>
      <c r="O156">
        <v>13.03</v>
      </c>
      <c r="P156">
        <v>179.8</v>
      </c>
      <c r="Q156">
        <v>180.4</v>
      </c>
      <c r="R156">
        <v>42.1</v>
      </c>
      <c r="S156">
        <v>158</v>
      </c>
      <c r="T156">
        <v>0</v>
      </c>
      <c r="U156" t="s">
        <v>796</v>
      </c>
      <c r="V156">
        <v>13.2</v>
      </c>
      <c r="W156">
        <v>-0.17</v>
      </c>
      <c r="X156" t="s">
        <v>805</v>
      </c>
      <c r="Y156">
        <v>87.88</v>
      </c>
      <c r="Z156" t="s">
        <v>811</v>
      </c>
      <c r="AA156">
        <v>33.964479892531067</v>
      </c>
      <c r="AB156">
        <v>32.694589110444987</v>
      </c>
      <c r="AC156">
        <v>36.309014175114939</v>
      </c>
      <c r="AD156">
        <v>36.353712872312784</v>
      </c>
      <c r="AE156">
        <v>24.800910716903775</v>
      </c>
      <c r="AF156">
        <v>24.953390614611553</v>
      </c>
      <c r="AG156">
        <v>40.887436983041326</v>
      </c>
      <c r="AH156">
        <v>5.16079111193703</v>
      </c>
      <c r="AI156">
        <v>0.20856927699657879</v>
      </c>
      <c r="AJ156">
        <v>0.20856927699657879</v>
      </c>
      <c r="AK156">
        <v>2.618581574153328E-2</v>
      </c>
      <c r="AL156">
        <v>2.0570702310949471</v>
      </c>
    </row>
    <row r="157" spans="1:38">
      <c r="A157" t="s">
        <v>61</v>
      </c>
      <c r="B157" t="s">
        <v>94</v>
      </c>
      <c r="C157">
        <v>240327</v>
      </c>
      <c r="D157" t="s">
        <v>256</v>
      </c>
      <c r="E157" t="s">
        <v>587</v>
      </c>
      <c r="F157" t="s">
        <v>765</v>
      </c>
      <c r="G157">
        <v>1.661</v>
      </c>
      <c r="H157">
        <v>62.4</v>
      </c>
      <c r="I157">
        <v>23.3</v>
      </c>
      <c r="J157">
        <v>35.799999999999997</v>
      </c>
      <c r="K157">
        <v>10.6</v>
      </c>
      <c r="L157">
        <v>52.6</v>
      </c>
      <c r="M157" t="s">
        <v>777</v>
      </c>
      <c r="N157" t="s">
        <v>788</v>
      </c>
      <c r="O157">
        <v>14.48</v>
      </c>
      <c r="P157">
        <v>183.5</v>
      </c>
      <c r="Q157">
        <v>179.6</v>
      </c>
      <c r="R157">
        <v>62.3</v>
      </c>
      <c r="S157">
        <v>167.1</v>
      </c>
      <c r="T157">
        <v>0</v>
      </c>
      <c r="U157" t="s">
        <v>796</v>
      </c>
      <c r="V157">
        <v>13.2</v>
      </c>
      <c r="W157">
        <v>1.31</v>
      </c>
      <c r="X157" t="s">
        <v>806</v>
      </c>
      <c r="Y157">
        <v>91.06</v>
      </c>
      <c r="Z157" t="s">
        <v>812</v>
      </c>
      <c r="AA157">
        <v>37.680867991139465</v>
      </c>
      <c r="AB157">
        <v>36.681016030360908</v>
      </c>
      <c r="AC157">
        <v>35.237858266474362</v>
      </c>
      <c r="AD157">
        <v>37.642905940631252</v>
      </c>
      <c r="AE157">
        <v>26.0535671739623</v>
      </c>
      <c r="AF157">
        <v>25.868298169842035</v>
      </c>
      <c r="AG157">
        <v>44.970484092971304</v>
      </c>
      <c r="AH157">
        <v>7.7041474972457094</v>
      </c>
      <c r="AI157">
        <v>0.35281574908321572</v>
      </c>
      <c r="AJ157">
        <v>0.35281574908321572</v>
      </c>
      <c r="AK157">
        <v>3.0449697973083882E-2</v>
      </c>
      <c r="AL157">
        <v>3.070841684696763</v>
      </c>
    </row>
    <row r="158" spans="1:38">
      <c r="A158" t="s">
        <v>64</v>
      </c>
      <c r="B158" t="s">
        <v>97</v>
      </c>
      <c r="C158">
        <v>240321</v>
      </c>
      <c r="D158" t="s">
        <v>257</v>
      </c>
      <c r="E158" t="s">
        <v>588</v>
      </c>
      <c r="F158" t="s">
        <v>765</v>
      </c>
      <c r="G158">
        <v>1.649</v>
      </c>
      <c r="H158">
        <v>53.4</v>
      </c>
      <c r="I158">
        <v>22</v>
      </c>
      <c r="J158">
        <v>33.799999999999997</v>
      </c>
      <c r="K158">
        <v>9.8000000000000007</v>
      </c>
      <c r="L158">
        <v>47.8</v>
      </c>
      <c r="M158" t="s">
        <v>782</v>
      </c>
      <c r="N158" t="s">
        <v>787</v>
      </c>
      <c r="O158">
        <v>14.22</v>
      </c>
      <c r="P158">
        <v>176.1</v>
      </c>
      <c r="Q158">
        <v>0</v>
      </c>
      <c r="R158">
        <v>32.9</v>
      </c>
      <c r="S158">
        <v>164.9</v>
      </c>
      <c r="T158">
        <v>0</v>
      </c>
      <c r="U158" t="s">
        <v>796</v>
      </c>
      <c r="V158">
        <v>16.2</v>
      </c>
      <c r="W158">
        <v>-1.94</v>
      </c>
      <c r="X158" t="s">
        <v>808</v>
      </c>
      <c r="Y158">
        <v>93.64</v>
      </c>
      <c r="Z158" t="s">
        <v>813</v>
      </c>
      <c r="AA158">
        <v>33.325938149357896</v>
      </c>
      <c r="AB158">
        <v>34.49218055162244</v>
      </c>
      <c r="AC158">
        <v>41.255577013174829</v>
      </c>
      <c r="AD158">
        <v>42.210037120328636</v>
      </c>
      <c r="AE158">
        <v>24.544813236290306</v>
      </c>
      <c r="AF158">
        <v>24.35512289406546</v>
      </c>
      <c r="AG158">
        <v>41.501087368437815</v>
      </c>
      <c r="AH158">
        <v>6.5929723774506552</v>
      </c>
      <c r="AI158">
        <v>0.26383325589640566</v>
      </c>
      <c r="AJ158">
        <v>0.26383325589640566</v>
      </c>
      <c r="AK158">
        <v>2.8074771720956383E-2</v>
      </c>
      <c r="AL158">
        <v>2.6279318263270373</v>
      </c>
    </row>
    <row r="159" spans="1:38">
      <c r="A159" t="s">
        <v>68</v>
      </c>
      <c r="B159" t="s">
        <v>97</v>
      </c>
      <c r="C159">
        <v>240325</v>
      </c>
      <c r="D159" t="s">
        <v>258</v>
      </c>
      <c r="E159" t="s">
        <v>589</v>
      </c>
      <c r="F159" t="s">
        <v>765</v>
      </c>
      <c r="G159">
        <v>1.847</v>
      </c>
      <c r="H159">
        <v>73.8</v>
      </c>
      <c r="I159">
        <v>25</v>
      </c>
      <c r="J159">
        <v>36.5</v>
      </c>
      <c r="K159">
        <v>11.2</v>
      </c>
      <c r="L159">
        <v>56</v>
      </c>
      <c r="M159" t="s">
        <v>777</v>
      </c>
      <c r="N159" t="s">
        <v>788</v>
      </c>
      <c r="O159">
        <v>17.38</v>
      </c>
      <c r="P159">
        <v>184</v>
      </c>
      <c r="Q159">
        <v>0</v>
      </c>
      <c r="R159">
        <v>73.7</v>
      </c>
      <c r="S159">
        <v>184</v>
      </c>
      <c r="T159">
        <v>0</v>
      </c>
      <c r="U159" t="s">
        <v>799</v>
      </c>
      <c r="V159">
        <v>15.3</v>
      </c>
      <c r="W159">
        <v>2.04</v>
      </c>
      <c r="X159" t="s">
        <v>804</v>
      </c>
      <c r="Y159">
        <v>100</v>
      </c>
      <c r="Z159" t="s">
        <v>814</v>
      </c>
      <c r="AA159">
        <v>40.829951022063916</v>
      </c>
      <c r="AB159">
        <v>38.158325559528805</v>
      </c>
      <c r="AC159">
        <v>48.272535686784892</v>
      </c>
      <c r="AD159">
        <v>48.167779779714259</v>
      </c>
      <c r="AE159">
        <v>28.139519533069279</v>
      </c>
      <c r="AF159">
        <v>27.565251524776425</v>
      </c>
      <c r="AG159">
        <v>48.152666338751743</v>
      </c>
      <c r="AH159">
        <v>9.111635982319445</v>
      </c>
      <c r="AI159">
        <v>0.48249947622833966</v>
      </c>
      <c r="AJ159">
        <v>0.48249947622833966</v>
      </c>
      <c r="AK159">
        <v>4.0598477099263536E-2</v>
      </c>
      <c r="AL159">
        <v>3.6318608386317486</v>
      </c>
    </row>
    <row r="160" spans="1:38">
      <c r="A160" t="s">
        <v>69</v>
      </c>
      <c r="B160" t="s">
        <v>97</v>
      </c>
      <c r="C160">
        <v>240321</v>
      </c>
      <c r="D160" t="s">
        <v>259</v>
      </c>
      <c r="E160" t="s">
        <v>590</v>
      </c>
      <c r="F160" t="s">
        <v>765</v>
      </c>
      <c r="G160">
        <v>1.71</v>
      </c>
      <c r="H160">
        <v>64.400000000000006</v>
      </c>
      <c r="I160">
        <v>25</v>
      </c>
      <c r="J160">
        <v>37</v>
      </c>
      <c r="K160">
        <v>11</v>
      </c>
      <c r="L160">
        <v>53.4</v>
      </c>
      <c r="M160" t="s">
        <v>778</v>
      </c>
      <c r="N160" t="s">
        <v>787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800</v>
      </c>
      <c r="V160">
        <v>0</v>
      </c>
      <c r="W160">
        <v>0</v>
      </c>
      <c r="X160" t="s">
        <v>800</v>
      </c>
      <c r="Y160">
        <v>0</v>
      </c>
      <c r="Z160" t="s">
        <v>800</v>
      </c>
      <c r="AA160">
        <v>38.286128057789725</v>
      </c>
      <c r="AB160">
        <v>37.242293325205736</v>
      </c>
      <c r="AC160">
        <v>40.520786034387292</v>
      </c>
      <c r="AD160">
        <v>41.308650828735715</v>
      </c>
      <c r="AE160">
        <v>24.886592853837332</v>
      </c>
      <c r="AF160">
        <v>25.460131532750662</v>
      </c>
      <c r="AG160">
        <v>46.053825127583821</v>
      </c>
      <c r="AH160">
        <v>7.9510753016446118</v>
      </c>
      <c r="AI160">
        <v>0.36741298481854368</v>
      </c>
      <c r="AJ160">
        <v>0.36741298481854368</v>
      </c>
      <c r="AK160">
        <v>5.0592635567596161E-2</v>
      </c>
      <c r="AL160">
        <v>3.1692660976678138</v>
      </c>
    </row>
    <row r="161" spans="1:38">
      <c r="A161" t="s">
        <v>66</v>
      </c>
      <c r="B161" t="s">
        <v>97</v>
      </c>
      <c r="C161">
        <v>240321</v>
      </c>
      <c r="D161" t="s">
        <v>260</v>
      </c>
      <c r="E161" t="s">
        <v>591</v>
      </c>
      <c r="F161" t="s">
        <v>765</v>
      </c>
      <c r="G161">
        <v>1.65</v>
      </c>
      <c r="H161">
        <v>61.1</v>
      </c>
      <c r="I161">
        <v>22</v>
      </c>
      <c r="J161">
        <v>37.200000000000003</v>
      </c>
      <c r="K161">
        <v>9.5</v>
      </c>
      <c r="L161">
        <v>51</v>
      </c>
      <c r="M161" t="s">
        <v>778</v>
      </c>
      <c r="N161" t="s">
        <v>787</v>
      </c>
      <c r="O161">
        <v>17.260000000000002</v>
      </c>
      <c r="P161">
        <v>169.1</v>
      </c>
      <c r="Q161">
        <v>60.2</v>
      </c>
      <c r="R161">
        <v>0</v>
      </c>
      <c r="S161">
        <v>165</v>
      </c>
      <c r="T161">
        <v>0</v>
      </c>
      <c r="U161" t="s">
        <v>798</v>
      </c>
      <c r="V161">
        <v>15.7</v>
      </c>
      <c r="W161">
        <v>-0.13</v>
      </c>
      <c r="X161" t="s">
        <v>805</v>
      </c>
      <c r="Y161">
        <v>95.6</v>
      </c>
      <c r="Z161" t="s">
        <v>813</v>
      </c>
      <c r="AA161">
        <v>37.687872578457458</v>
      </c>
      <c r="AB161">
        <v>38.222769453108462</v>
      </c>
      <c r="AC161">
        <v>41.683260416214367</v>
      </c>
      <c r="AD161">
        <v>39.229944111294394</v>
      </c>
      <c r="AE161">
        <v>26.421385699131513</v>
      </c>
      <c r="AF161">
        <v>26.647416027041107</v>
      </c>
      <c r="AG161">
        <v>41.655103968190886</v>
      </c>
      <c r="AH161">
        <v>7.5436444243864242</v>
      </c>
      <c r="AI161">
        <v>0.36708256743257023</v>
      </c>
      <c r="AJ161">
        <v>0.36708256743257023</v>
      </c>
      <c r="AK161">
        <v>3.8578924939393758E-2</v>
      </c>
      <c r="AL161">
        <v>3.0068658162655804</v>
      </c>
    </row>
    <row r="162" spans="1:38">
      <c r="A162" t="s">
        <v>70</v>
      </c>
      <c r="B162" t="s">
        <v>96</v>
      </c>
      <c r="C162">
        <v>240326</v>
      </c>
      <c r="D162" t="s">
        <v>261</v>
      </c>
      <c r="E162" t="s">
        <v>592</v>
      </c>
      <c r="F162" t="s">
        <v>765</v>
      </c>
      <c r="G162">
        <v>1.86</v>
      </c>
      <c r="H162">
        <v>75</v>
      </c>
      <c r="I162">
        <v>25.3</v>
      </c>
      <c r="J162">
        <v>38.299999999999997</v>
      </c>
      <c r="K162">
        <v>11.4</v>
      </c>
      <c r="L162">
        <v>53</v>
      </c>
      <c r="M162" t="s">
        <v>776</v>
      </c>
      <c r="N162" t="s">
        <v>787</v>
      </c>
      <c r="O162">
        <v>17.260000000000002</v>
      </c>
      <c r="P162">
        <v>186</v>
      </c>
      <c r="Q162">
        <v>0</v>
      </c>
      <c r="R162">
        <v>76.099999999999994</v>
      </c>
      <c r="S162">
        <v>186.3</v>
      </c>
      <c r="T162">
        <v>0</v>
      </c>
      <c r="U162" t="s">
        <v>797</v>
      </c>
      <c r="V162">
        <v>14.9</v>
      </c>
      <c r="W162">
        <v>2.4</v>
      </c>
      <c r="X162" t="s">
        <v>804</v>
      </c>
      <c r="Y162">
        <v>100.16</v>
      </c>
      <c r="Z162" t="s">
        <v>814</v>
      </c>
      <c r="AA162">
        <v>42.458149521061969</v>
      </c>
      <c r="AB162">
        <v>40.666961143778813</v>
      </c>
      <c r="AC162">
        <v>45.405834834472401</v>
      </c>
      <c r="AD162">
        <v>46.84046712043984</v>
      </c>
      <c r="AE162">
        <v>30.07364073890626</v>
      </c>
      <c r="AF162">
        <v>29.727311882004347</v>
      </c>
      <c r="AG162">
        <v>50.070791444046208</v>
      </c>
      <c r="AH162">
        <v>9.2597926649587858</v>
      </c>
      <c r="AI162">
        <v>0.54372634661511743</v>
      </c>
      <c r="AJ162">
        <v>0.54372634661511743</v>
      </c>
      <c r="AK162">
        <v>5.4627087789824808E-2</v>
      </c>
      <c r="AL162">
        <v>3.6909154864143785</v>
      </c>
    </row>
    <row r="163" spans="1:38">
      <c r="A163" t="s">
        <v>71</v>
      </c>
      <c r="B163" t="s">
        <v>97</v>
      </c>
      <c r="C163">
        <v>240326</v>
      </c>
      <c r="D163" t="s">
        <v>262</v>
      </c>
      <c r="E163" t="s">
        <v>593</v>
      </c>
      <c r="F163" t="s">
        <v>765</v>
      </c>
      <c r="G163">
        <v>1.82</v>
      </c>
      <c r="H163">
        <v>56.2</v>
      </c>
      <c r="I163">
        <v>24.2</v>
      </c>
      <c r="J163">
        <v>31.3</v>
      </c>
      <c r="K163">
        <v>10.4</v>
      </c>
      <c r="L163">
        <v>46.2</v>
      </c>
      <c r="M163" t="s">
        <v>780</v>
      </c>
      <c r="N163" t="s">
        <v>787</v>
      </c>
      <c r="AA163">
        <v>42.131546830917664</v>
      </c>
      <c r="AB163">
        <v>42.56119029449308</v>
      </c>
      <c r="AC163">
        <v>43.262539162980623</v>
      </c>
      <c r="AD163">
        <v>42.803249431444563</v>
      </c>
      <c r="AE163">
        <v>26.675125143269849</v>
      </c>
      <c r="AF163">
        <v>27.895576473699816</v>
      </c>
      <c r="AG163">
        <v>47.417277264066747</v>
      </c>
      <c r="AH163">
        <v>6.9386713036091168</v>
      </c>
      <c r="AI163">
        <v>0.41315455159407344</v>
      </c>
      <c r="AJ163">
        <v>0.41315455159407344</v>
      </c>
      <c r="AK163">
        <v>3.4057111487594313E-2</v>
      </c>
      <c r="AL163">
        <v>2.7657260044865075</v>
      </c>
    </row>
    <row r="164" spans="1:38">
      <c r="A164" t="s">
        <v>72</v>
      </c>
      <c r="B164" t="s">
        <v>97</v>
      </c>
      <c r="C164">
        <v>240326</v>
      </c>
      <c r="D164" t="s">
        <v>263</v>
      </c>
      <c r="E164" t="s">
        <v>594</v>
      </c>
      <c r="F164" t="s">
        <v>765</v>
      </c>
      <c r="G164">
        <v>1.75</v>
      </c>
      <c r="H164">
        <v>65.900000000000006</v>
      </c>
      <c r="I164">
        <v>22.9</v>
      </c>
      <c r="J164">
        <v>34.4</v>
      </c>
      <c r="K164">
        <v>10.199999999999999</v>
      </c>
      <c r="L164">
        <v>51.4</v>
      </c>
      <c r="M164" t="s">
        <v>782</v>
      </c>
      <c r="N164" t="s">
        <v>788</v>
      </c>
      <c r="AA164">
        <v>37.300479731805794</v>
      </c>
      <c r="AB164">
        <v>38.375238798644304</v>
      </c>
      <c r="AC164">
        <v>43.472712693364713</v>
      </c>
      <c r="AD164">
        <v>43.592752393790775</v>
      </c>
      <c r="AE164">
        <v>26.895096572988599</v>
      </c>
      <c r="AF164">
        <v>27.107879614586032</v>
      </c>
      <c r="AG164">
        <v>45.856133993957513</v>
      </c>
      <c r="AH164">
        <v>8.1362711549437883</v>
      </c>
      <c r="AI164">
        <v>0.41841038820680965</v>
      </c>
      <c r="AJ164">
        <v>0.41841038820680965</v>
      </c>
      <c r="AK164">
        <v>4.3794470256929438E-2</v>
      </c>
      <c r="AL164">
        <v>3.2430844073961014</v>
      </c>
    </row>
    <row r="165" spans="1:38">
      <c r="A165" t="s">
        <v>73</v>
      </c>
      <c r="B165" t="s">
        <v>97</v>
      </c>
      <c r="C165">
        <v>240326</v>
      </c>
      <c r="D165" t="s">
        <v>264</v>
      </c>
      <c r="E165" t="s">
        <v>595</v>
      </c>
      <c r="F165" t="s">
        <v>765</v>
      </c>
      <c r="G165">
        <v>1.6950000000000001</v>
      </c>
      <c r="H165">
        <v>55.3</v>
      </c>
      <c r="I165">
        <v>23.2</v>
      </c>
      <c r="J165">
        <v>34.200000000000003</v>
      </c>
      <c r="K165">
        <v>9.6999999999999993</v>
      </c>
      <c r="L165">
        <v>47.8</v>
      </c>
      <c r="M165" t="s">
        <v>783</v>
      </c>
      <c r="N165" t="s">
        <v>787</v>
      </c>
      <c r="AA165">
        <v>36.549347929308588</v>
      </c>
      <c r="AB165">
        <v>35.860583380523096</v>
      </c>
      <c r="AC165">
        <v>42.698499845557642</v>
      </c>
      <c r="AD165">
        <v>43.153896748992132</v>
      </c>
      <c r="AE165">
        <v>26.355424210216228</v>
      </c>
      <c r="AF165">
        <v>27.096647631912408</v>
      </c>
      <c r="AG165">
        <v>46.218103146815153</v>
      </c>
      <c r="AH165">
        <v>6.8275537916296107</v>
      </c>
      <c r="AI165">
        <v>0.28650648817458596</v>
      </c>
      <c r="AJ165">
        <v>0.28650648817458596</v>
      </c>
      <c r="AK165">
        <v>2.5651043870222705E-2</v>
      </c>
      <c r="AL165">
        <v>2.7214350186495349</v>
      </c>
    </row>
    <row r="166" spans="1:38">
      <c r="A166" t="s">
        <v>74</v>
      </c>
      <c r="B166" t="s">
        <v>97</v>
      </c>
      <c r="C166">
        <v>240325</v>
      </c>
      <c r="D166" t="s">
        <v>265</v>
      </c>
      <c r="E166" t="s">
        <v>596</v>
      </c>
      <c r="F166" t="s">
        <v>765</v>
      </c>
      <c r="G166">
        <v>1.8440000000000001</v>
      </c>
      <c r="H166">
        <v>71.099999999999994</v>
      </c>
      <c r="I166">
        <v>24</v>
      </c>
      <c r="J166">
        <v>36.299999999999997</v>
      </c>
      <c r="K166">
        <v>10</v>
      </c>
      <c r="L166">
        <v>47.8</v>
      </c>
      <c r="M166" t="s">
        <v>780</v>
      </c>
      <c r="N166" t="s">
        <v>788</v>
      </c>
      <c r="O166">
        <v>16.100000000000001</v>
      </c>
      <c r="P166">
        <v>179.6</v>
      </c>
      <c r="Q166">
        <v>178.2</v>
      </c>
      <c r="R166">
        <v>71.7</v>
      </c>
      <c r="S166">
        <v>174.8</v>
      </c>
      <c r="T166">
        <v>0</v>
      </c>
      <c r="U166" t="s">
        <v>796</v>
      </c>
      <c r="V166">
        <v>16.2</v>
      </c>
      <c r="W166">
        <v>-0.15</v>
      </c>
      <c r="X166" t="s">
        <v>805</v>
      </c>
      <c r="Y166">
        <v>97.33</v>
      </c>
      <c r="Z166" t="s">
        <v>814</v>
      </c>
      <c r="AA166">
        <v>40.425976147475453</v>
      </c>
      <c r="AB166">
        <v>40.40132220168703</v>
      </c>
      <c r="AC166">
        <v>44.35883437847265</v>
      </c>
      <c r="AD166">
        <v>43.586107435257297</v>
      </c>
      <c r="AE166">
        <v>28.220423611774844</v>
      </c>
      <c r="AF166">
        <v>27.83894874394905</v>
      </c>
      <c r="AG166">
        <v>50.077485222688296</v>
      </c>
      <c r="AH166">
        <v>8.7782834463809287</v>
      </c>
      <c r="AI166">
        <v>0.47518647689149757</v>
      </c>
      <c r="AJ166">
        <v>0.47518647689149757</v>
      </c>
      <c r="AK166">
        <v>3.2292559877487678E-2</v>
      </c>
      <c r="AL166">
        <v>3.4989878811208306</v>
      </c>
    </row>
    <row r="167" spans="1:38">
      <c r="A167" t="s">
        <v>75</v>
      </c>
      <c r="B167" t="s">
        <v>93</v>
      </c>
      <c r="C167">
        <v>240325</v>
      </c>
      <c r="D167" t="s">
        <v>266</v>
      </c>
      <c r="E167" t="s">
        <v>597</v>
      </c>
      <c r="F167" t="s">
        <v>765</v>
      </c>
      <c r="G167">
        <v>1.4450000000000001</v>
      </c>
      <c r="H167">
        <v>37</v>
      </c>
      <c r="I167">
        <v>22.1</v>
      </c>
      <c r="J167">
        <v>27.9</v>
      </c>
      <c r="K167">
        <v>9.4</v>
      </c>
      <c r="L167">
        <v>43.7</v>
      </c>
      <c r="M167" t="s">
        <v>784</v>
      </c>
      <c r="N167" t="s">
        <v>787</v>
      </c>
      <c r="O167">
        <v>10.69</v>
      </c>
      <c r="P167">
        <v>174.4</v>
      </c>
      <c r="Q167">
        <v>174.2</v>
      </c>
      <c r="R167">
        <v>38.1</v>
      </c>
      <c r="S167">
        <v>143.4</v>
      </c>
      <c r="T167">
        <v>0</v>
      </c>
      <c r="U167" t="s">
        <v>796</v>
      </c>
      <c r="V167">
        <v>12</v>
      </c>
      <c r="W167">
        <v>-1.31</v>
      </c>
      <c r="X167" t="s">
        <v>808</v>
      </c>
      <c r="Y167">
        <v>82.22</v>
      </c>
      <c r="Z167" t="s">
        <v>811</v>
      </c>
      <c r="AA167">
        <v>31.31436315506707</v>
      </c>
      <c r="AB167">
        <v>31.180296803822579</v>
      </c>
      <c r="AC167">
        <v>35.088513060023608</v>
      </c>
      <c r="AD167">
        <v>35.849674499259642</v>
      </c>
      <c r="AE167">
        <v>22.812654071189755</v>
      </c>
      <c r="AF167">
        <v>23.410440230627877</v>
      </c>
      <c r="AG167">
        <v>37.158725790665272</v>
      </c>
      <c r="AH167">
        <v>4.5681643813796677</v>
      </c>
      <c r="AI167">
        <v>0.14202220481687827</v>
      </c>
      <c r="AJ167">
        <v>0.14202220481687827</v>
      </c>
      <c r="AK167">
        <v>1.8835038914889808E-2</v>
      </c>
      <c r="AL167">
        <v>1.8208516399644268</v>
      </c>
    </row>
    <row r="168" spans="1:38">
      <c r="A168" t="s">
        <v>76</v>
      </c>
      <c r="B168" t="s">
        <v>93</v>
      </c>
      <c r="C168">
        <v>240325</v>
      </c>
      <c r="D168" t="s">
        <v>267</v>
      </c>
      <c r="E168" t="s">
        <v>598</v>
      </c>
      <c r="F168" t="s">
        <v>765</v>
      </c>
      <c r="G168">
        <v>1.5430000000000001</v>
      </c>
      <c r="H168">
        <v>43.3</v>
      </c>
      <c r="I168">
        <v>23</v>
      </c>
      <c r="J168">
        <v>37.200000000000003</v>
      </c>
      <c r="K168">
        <v>9.3000000000000007</v>
      </c>
      <c r="L168">
        <v>47.4</v>
      </c>
      <c r="M168" t="s">
        <v>783</v>
      </c>
      <c r="N168" t="s">
        <v>787</v>
      </c>
      <c r="O168">
        <v>13.09</v>
      </c>
      <c r="P168">
        <v>180.9</v>
      </c>
      <c r="Q168">
        <v>181.2</v>
      </c>
      <c r="R168">
        <v>44.5</v>
      </c>
      <c r="S168">
        <v>153.69999999999999</v>
      </c>
      <c r="T168">
        <v>0</v>
      </c>
      <c r="U168" t="s">
        <v>797</v>
      </c>
      <c r="V168">
        <v>11.8</v>
      </c>
      <c r="W168">
        <v>1.25</v>
      </c>
      <c r="X168" t="s">
        <v>806</v>
      </c>
      <c r="Y168">
        <v>84.96</v>
      </c>
      <c r="Z168" t="s">
        <v>811</v>
      </c>
      <c r="AA168">
        <v>36.661307844087297</v>
      </c>
      <c r="AB168">
        <v>36.473333662686258</v>
      </c>
      <c r="AC168">
        <v>38.475817617678828</v>
      </c>
      <c r="AD168">
        <v>38.971404944994148</v>
      </c>
      <c r="AE168">
        <v>24.744015610945326</v>
      </c>
      <c r="AF168">
        <v>25.099144733408316</v>
      </c>
      <c r="AG168">
        <v>37.616188554131483</v>
      </c>
      <c r="AH168">
        <v>5.3459869652362055</v>
      </c>
      <c r="AI168">
        <v>0.20655613884209936</v>
      </c>
      <c r="AJ168">
        <v>0.20655613884209936</v>
      </c>
      <c r="AK168">
        <v>1.9302868745315283E-2</v>
      </c>
      <c r="AL168">
        <v>2.1308885408232348</v>
      </c>
    </row>
    <row r="169" spans="1:38">
      <c r="A169" t="s">
        <v>77</v>
      </c>
      <c r="B169" t="s">
        <v>96</v>
      </c>
      <c r="C169">
        <v>240326</v>
      </c>
      <c r="D169" t="s">
        <v>268</v>
      </c>
      <c r="E169" t="s">
        <v>599</v>
      </c>
      <c r="F169" t="s">
        <v>765</v>
      </c>
      <c r="G169">
        <v>1.7829999999999999</v>
      </c>
      <c r="H169">
        <v>57.5</v>
      </c>
      <c r="I169">
        <v>20.9</v>
      </c>
      <c r="J169">
        <v>31.9</v>
      </c>
      <c r="K169">
        <v>10.1</v>
      </c>
      <c r="L169">
        <v>47.5</v>
      </c>
      <c r="M169" t="s">
        <v>783</v>
      </c>
      <c r="N169" t="s">
        <v>787</v>
      </c>
      <c r="O169">
        <v>15.83</v>
      </c>
      <c r="P169">
        <v>182.2</v>
      </c>
      <c r="Q169">
        <v>182.4</v>
      </c>
      <c r="R169">
        <v>57.5</v>
      </c>
      <c r="S169">
        <v>177.9</v>
      </c>
      <c r="T169">
        <v>0</v>
      </c>
      <c r="U169" t="s">
        <v>798</v>
      </c>
      <c r="V169">
        <v>14.6</v>
      </c>
      <c r="W169">
        <v>1.19</v>
      </c>
      <c r="X169" t="s">
        <v>806</v>
      </c>
      <c r="Y169">
        <v>97.64</v>
      </c>
      <c r="Z169" t="s">
        <v>814</v>
      </c>
      <c r="AA169">
        <v>39.487635458655589</v>
      </c>
      <c r="AB169">
        <v>39.114126166880304</v>
      </c>
      <c r="AC169">
        <v>42.202024929585313</v>
      </c>
      <c r="AD169">
        <v>41.842642003566148</v>
      </c>
      <c r="AE169">
        <v>27.516795428897876</v>
      </c>
      <c r="AF169">
        <v>27.368229522142496</v>
      </c>
      <c r="AG169">
        <v>46.837457996057395</v>
      </c>
      <c r="AH169">
        <v>7.0991743764684028</v>
      </c>
      <c r="AI169">
        <v>0.38665231141651307</v>
      </c>
      <c r="AJ169">
        <v>0.38665231141651307</v>
      </c>
      <c r="AK169">
        <v>3.2119472459229033E-2</v>
      </c>
      <c r="AL169">
        <v>2.8297018729176902</v>
      </c>
    </row>
    <row r="170" spans="1:38">
      <c r="A170" t="s">
        <v>78</v>
      </c>
      <c r="B170" t="s">
        <v>96</v>
      </c>
      <c r="C170">
        <v>240326</v>
      </c>
      <c r="D170" t="s">
        <v>269</v>
      </c>
      <c r="E170" t="s">
        <v>600</v>
      </c>
      <c r="F170" t="s">
        <v>765</v>
      </c>
      <c r="G170">
        <v>1.74</v>
      </c>
      <c r="H170">
        <v>60.8</v>
      </c>
      <c r="I170">
        <v>23.9</v>
      </c>
      <c r="J170">
        <v>35.9</v>
      </c>
      <c r="K170">
        <v>10.6</v>
      </c>
      <c r="L170">
        <v>48.2</v>
      </c>
      <c r="M170" t="s">
        <v>780</v>
      </c>
      <c r="N170" t="s">
        <v>788</v>
      </c>
      <c r="O170">
        <v>15.48</v>
      </c>
      <c r="P170">
        <v>179.2</v>
      </c>
      <c r="Q170">
        <v>177.3</v>
      </c>
      <c r="R170">
        <v>60.7</v>
      </c>
      <c r="S170">
        <v>173.2</v>
      </c>
      <c r="T170">
        <v>0</v>
      </c>
      <c r="U170" t="s">
        <v>798</v>
      </c>
      <c r="V170">
        <v>14.7</v>
      </c>
      <c r="W170">
        <v>0.82</v>
      </c>
      <c r="X170" t="s">
        <v>805</v>
      </c>
      <c r="Y170">
        <v>96.65</v>
      </c>
      <c r="Z170" t="s">
        <v>813</v>
      </c>
      <c r="AA170">
        <v>40.944105528080492</v>
      </c>
      <c r="AB170">
        <v>40.10267110102231</v>
      </c>
      <c r="AC170">
        <v>44.101634225537623</v>
      </c>
      <c r="AD170">
        <v>43.843057164100259</v>
      </c>
      <c r="AE170">
        <v>27.167953433398687</v>
      </c>
      <c r="AF170">
        <v>26.566404980301009</v>
      </c>
      <c r="AG170">
        <v>42.78460330920133</v>
      </c>
      <c r="AH170">
        <v>7.5066052537265886</v>
      </c>
      <c r="AI170">
        <v>0.39862157743904025</v>
      </c>
      <c r="AJ170">
        <v>0.39862157743904025</v>
      </c>
      <c r="AK170">
        <v>3.9885960312987495E-2</v>
      </c>
      <c r="AL170">
        <v>2.9921021543199227</v>
      </c>
    </row>
    <row r="171" spans="1:38">
      <c r="A171" t="s">
        <v>1</v>
      </c>
      <c r="B171" t="s">
        <v>94</v>
      </c>
      <c r="C171">
        <v>240819</v>
      </c>
      <c r="D171" t="s">
        <v>270</v>
      </c>
      <c r="E171" t="s">
        <v>601</v>
      </c>
      <c r="F171" t="s">
        <v>766</v>
      </c>
      <c r="G171">
        <v>1.71</v>
      </c>
      <c r="H171">
        <v>49.3</v>
      </c>
      <c r="I171">
        <v>25</v>
      </c>
      <c r="J171">
        <v>32.5</v>
      </c>
      <c r="K171">
        <v>9.9</v>
      </c>
      <c r="L171">
        <v>43.3</v>
      </c>
      <c r="M171" t="s">
        <v>776</v>
      </c>
      <c r="N171" t="s">
        <v>787</v>
      </c>
      <c r="O171">
        <v>13.96</v>
      </c>
      <c r="P171">
        <v>192.4</v>
      </c>
      <c r="Q171">
        <v>187.8</v>
      </c>
      <c r="R171">
        <v>49.8</v>
      </c>
      <c r="S171">
        <v>170.3</v>
      </c>
      <c r="T171">
        <v>0</v>
      </c>
      <c r="U171" t="s">
        <v>796</v>
      </c>
      <c r="V171">
        <v>12.5</v>
      </c>
      <c r="W171">
        <v>1.45</v>
      </c>
      <c r="X171" t="s">
        <v>806</v>
      </c>
      <c r="Y171">
        <v>88.51</v>
      </c>
      <c r="Z171" t="s">
        <v>811</v>
      </c>
      <c r="AA171">
        <v>38.635868812635323</v>
      </c>
      <c r="AB171">
        <v>38.947501766957984</v>
      </c>
      <c r="AC171">
        <v>41.451123400209909</v>
      </c>
      <c r="AD171">
        <v>42.207975533702459</v>
      </c>
      <c r="AE171">
        <v>28.181585035221254</v>
      </c>
      <c r="AF171">
        <v>27.781639781083062</v>
      </c>
      <c r="AG171">
        <v>44.679487391446585</v>
      </c>
      <c r="AH171">
        <v>6.0867703784329086</v>
      </c>
      <c r="AI171">
        <v>0.31607039947451065</v>
      </c>
      <c r="AJ171">
        <v>0.31607039947451065</v>
      </c>
      <c r="AK171">
        <v>3.2867636011740774E-2</v>
      </c>
      <c r="AL171">
        <v>2.4261617797363848</v>
      </c>
    </row>
    <row r="172" spans="1:38">
      <c r="A172" t="s">
        <v>2</v>
      </c>
      <c r="B172" t="s">
        <v>94</v>
      </c>
      <c r="C172">
        <v>240819</v>
      </c>
      <c r="D172" t="s">
        <v>271</v>
      </c>
      <c r="E172" t="s">
        <v>602</v>
      </c>
      <c r="F172" t="s">
        <v>766</v>
      </c>
      <c r="G172">
        <v>1.46</v>
      </c>
      <c r="H172">
        <v>34.4</v>
      </c>
      <c r="I172">
        <v>22</v>
      </c>
      <c r="J172">
        <v>26.8</v>
      </c>
      <c r="K172">
        <v>8.9</v>
      </c>
      <c r="L172">
        <v>40.4</v>
      </c>
      <c r="M172" t="s">
        <v>778</v>
      </c>
      <c r="N172" t="s">
        <v>787</v>
      </c>
      <c r="O172">
        <v>11.95</v>
      </c>
      <c r="P172">
        <v>175.7</v>
      </c>
      <c r="Q172">
        <v>177.5</v>
      </c>
      <c r="R172">
        <v>34.5</v>
      </c>
      <c r="S172">
        <v>148.30000000000001</v>
      </c>
      <c r="T172">
        <v>0</v>
      </c>
      <c r="U172" t="s">
        <v>797</v>
      </c>
      <c r="V172">
        <v>12.1</v>
      </c>
      <c r="W172">
        <v>-0.18</v>
      </c>
      <c r="X172" t="s">
        <v>805</v>
      </c>
      <c r="Y172">
        <v>84.41</v>
      </c>
      <c r="Z172" t="s">
        <v>811</v>
      </c>
      <c r="AA172">
        <v>35.050967577870495</v>
      </c>
      <c r="AB172">
        <v>34.462748225510595</v>
      </c>
      <c r="AC172">
        <v>36.130800835604447</v>
      </c>
      <c r="AD172">
        <v>35.911536151742681</v>
      </c>
      <c r="AE172">
        <v>23.266500343407266</v>
      </c>
      <c r="AF172">
        <v>23.52409040780638</v>
      </c>
      <c r="AG172">
        <v>35.409289859799507</v>
      </c>
      <c r="AH172">
        <v>4.2471582356610966</v>
      </c>
      <c r="AI172">
        <v>0.16146086530215978</v>
      </c>
      <c r="AJ172">
        <v>0.16146086530215978</v>
      </c>
      <c r="AK172">
        <v>1.6274153045666782E-2</v>
      </c>
      <c r="AL172">
        <v>1.6928999031020617</v>
      </c>
    </row>
    <row r="173" spans="1:38">
      <c r="A173" t="s">
        <v>3</v>
      </c>
      <c r="B173" t="s">
        <v>93</v>
      </c>
      <c r="C173">
        <v>240822</v>
      </c>
      <c r="D173" t="s">
        <v>272</v>
      </c>
      <c r="E173" t="s">
        <v>603</v>
      </c>
      <c r="F173" t="s">
        <v>766</v>
      </c>
      <c r="G173">
        <v>1.4980000000000002</v>
      </c>
      <c r="H173">
        <v>39.1</v>
      </c>
      <c r="I173">
        <v>24</v>
      </c>
      <c r="J173">
        <v>30</v>
      </c>
      <c r="K173">
        <v>9</v>
      </c>
      <c r="L173">
        <v>41.6</v>
      </c>
      <c r="M173" t="s">
        <v>783</v>
      </c>
      <c r="N173" t="s">
        <v>787</v>
      </c>
      <c r="O173">
        <v>11.76</v>
      </c>
      <c r="P173">
        <v>182</v>
      </c>
      <c r="Q173">
        <v>181.4</v>
      </c>
      <c r="R173">
        <v>37.700000000000003</v>
      </c>
      <c r="S173">
        <v>150.4</v>
      </c>
      <c r="T173">
        <v>0</v>
      </c>
      <c r="U173" t="s">
        <v>796</v>
      </c>
      <c r="V173">
        <v>11.3</v>
      </c>
      <c r="W173">
        <v>0.45</v>
      </c>
      <c r="X173" t="s">
        <v>805</v>
      </c>
      <c r="Y173">
        <v>82.64</v>
      </c>
      <c r="Z173" t="s">
        <v>811</v>
      </c>
      <c r="AA173">
        <v>33.112146974970941</v>
      </c>
      <c r="AB173">
        <v>33.027290052490088</v>
      </c>
      <c r="AC173">
        <v>35.423879341421056</v>
      </c>
      <c r="AD173">
        <v>35.827169495836131</v>
      </c>
      <c r="AE173">
        <v>22.487537577558648</v>
      </c>
      <c r="AF173">
        <v>23.616911244063306</v>
      </c>
      <c r="AG173">
        <v>37.157732819627654</v>
      </c>
      <c r="AH173">
        <v>4.8274385759985137</v>
      </c>
      <c r="AI173">
        <v>0.17578936850060203</v>
      </c>
      <c r="AJ173">
        <v>0.17578936850060203</v>
      </c>
      <c r="AK173">
        <v>2.1730604292728346E-2</v>
      </c>
      <c r="AL173">
        <v>1.9241972735840294</v>
      </c>
    </row>
    <row r="174" spans="1:38">
      <c r="A174" t="s">
        <v>6</v>
      </c>
      <c r="B174" t="s">
        <v>94</v>
      </c>
      <c r="C174">
        <v>240819</v>
      </c>
      <c r="D174" t="s">
        <v>273</v>
      </c>
      <c r="E174" t="s">
        <v>604</v>
      </c>
      <c r="F174" t="s">
        <v>766</v>
      </c>
      <c r="G174">
        <v>1.4550000000000001</v>
      </c>
      <c r="H174">
        <v>36.4</v>
      </c>
      <c r="I174">
        <v>25</v>
      </c>
      <c r="J174">
        <v>30.7</v>
      </c>
      <c r="K174">
        <v>9.1</v>
      </c>
      <c r="L174">
        <v>41.3</v>
      </c>
      <c r="M174" t="s">
        <v>783</v>
      </c>
      <c r="N174" t="s">
        <v>787</v>
      </c>
      <c r="O174">
        <v>12.01</v>
      </c>
      <c r="P174">
        <v>176.7</v>
      </c>
      <c r="Q174">
        <v>177.5</v>
      </c>
      <c r="R174">
        <v>36.1</v>
      </c>
      <c r="S174">
        <v>147.5</v>
      </c>
      <c r="T174">
        <v>0</v>
      </c>
      <c r="U174" t="s">
        <v>798</v>
      </c>
      <c r="V174">
        <v>11.8</v>
      </c>
      <c r="W174">
        <v>0.17</v>
      </c>
      <c r="X174" t="s">
        <v>805</v>
      </c>
      <c r="Y174">
        <v>83.47</v>
      </c>
      <c r="Z174" t="s">
        <v>811</v>
      </c>
      <c r="AA174">
        <v>34.309771408271367</v>
      </c>
      <c r="AB174">
        <v>34.349245101305819</v>
      </c>
      <c r="AC174">
        <v>34.127249295875863</v>
      </c>
      <c r="AD174">
        <v>33.85986817529853</v>
      </c>
      <c r="AE174">
        <v>22.921377672889125</v>
      </c>
      <c r="AF174">
        <v>23.250730899838111</v>
      </c>
      <c r="AG174">
        <v>37.624687167843312</v>
      </c>
      <c r="AH174">
        <v>4.4940860400599973</v>
      </c>
      <c r="AI174">
        <v>0.17387742024880107</v>
      </c>
      <c r="AJ174">
        <v>0.17387742024880107</v>
      </c>
      <c r="AK174">
        <v>1.8507249873581131E-2</v>
      </c>
      <c r="AL174">
        <v>1.7913243160731118</v>
      </c>
    </row>
    <row r="175" spans="1:38">
      <c r="A175" t="s">
        <v>8</v>
      </c>
      <c r="B175" t="s">
        <v>94</v>
      </c>
      <c r="C175">
        <v>240819</v>
      </c>
      <c r="D175" t="s">
        <v>274</v>
      </c>
      <c r="E175" t="s">
        <v>605</v>
      </c>
      <c r="F175" t="s">
        <v>766</v>
      </c>
      <c r="G175">
        <v>1.41</v>
      </c>
      <c r="H175">
        <v>38.1</v>
      </c>
      <c r="I175">
        <v>20.5</v>
      </c>
      <c r="J175">
        <v>29.5</v>
      </c>
      <c r="K175">
        <v>9.1999999999999993</v>
      </c>
      <c r="L175">
        <v>43.2</v>
      </c>
      <c r="M175" t="s">
        <v>777</v>
      </c>
      <c r="N175" t="s">
        <v>788</v>
      </c>
      <c r="O175">
        <v>10.73</v>
      </c>
      <c r="P175">
        <v>174.1</v>
      </c>
      <c r="Q175">
        <v>177.5</v>
      </c>
      <c r="R175">
        <v>38.9</v>
      </c>
      <c r="S175">
        <v>142</v>
      </c>
      <c r="T175">
        <v>0</v>
      </c>
      <c r="U175" t="s">
        <v>799</v>
      </c>
      <c r="V175">
        <v>11.6</v>
      </c>
      <c r="W175">
        <v>-0.91</v>
      </c>
      <c r="X175" t="s">
        <v>805</v>
      </c>
      <c r="Y175">
        <v>81.56</v>
      </c>
      <c r="Z175" t="s">
        <v>811</v>
      </c>
      <c r="AA175">
        <v>31.125725901614402</v>
      </c>
      <c r="AB175">
        <v>30.566031916683464</v>
      </c>
      <c r="AC175">
        <v>34.934953611839731</v>
      </c>
      <c r="AD175">
        <v>35.327359202222517</v>
      </c>
      <c r="AE175">
        <v>22.654642005391715</v>
      </c>
      <c r="AF175">
        <v>23.145024582245831</v>
      </c>
      <c r="AG175">
        <v>36.24327316303247</v>
      </c>
      <c r="AH175">
        <v>4.7039746737990633</v>
      </c>
      <c r="AI175">
        <v>0.15068115223261336</v>
      </c>
      <c r="AJ175">
        <v>0.15068115223261336</v>
      </c>
      <c r="AK175">
        <v>2.1652773728857794E-2</v>
      </c>
      <c r="AL175">
        <v>1.8749850670985042</v>
      </c>
    </row>
    <row r="176" spans="1:38">
      <c r="A176" t="s">
        <v>9</v>
      </c>
      <c r="B176" t="s">
        <v>94</v>
      </c>
      <c r="C176">
        <v>240820</v>
      </c>
      <c r="D176" t="s">
        <v>275</v>
      </c>
      <c r="E176" t="s">
        <v>606</v>
      </c>
      <c r="F176" t="s">
        <v>766</v>
      </c>
      <c r="G176">
        <v>1.556</v>
      </c>
      <c r="H176">
        <v>43.6</v>
      </c>
      <c r="I176">
        <v>24.3</v>
      </c>
      <c r="J176">
        <v>31.5</v>
      </c>
      <c r="K176">
        <v>9.9</v>
      </c>
      <c r="L176">
        <v>40.1</v>
      </c>
      <c r="M176" t="s">
        <v>779</v>
      </c>
      <c r="N176" t="s">
        <v>787</v>
      </c>
      <c r="O176">
        <v>13.15</v>
      </c>
      <c r="P176">
        <v>181</v>
      </c>
      <c r="Q176">
        <v>176.4</v>
      </c>
      <c r="R176">
        <v>45.6</v>
      </c>
      <c r="S176">
        <v>156.80000000000001</v>
      </c>
      <c r="T176">
        <v>0</v>
      </c>
      <c r="U176" t="s">
        <v>796</v>
      </c>
      <c r="V176">
        <v>12.4</v>
      </c>
      <c r="W176">
        <v>0.7</v>
      </c>
      <c r="X176" t="s">
        <v>805</v>
      </c>
      <c r="Y176">
        <v>86.63</v>
      </c>
      <c r="Z176" t="s">
        <v>811</v>
      </c>
      <c r="AA176">
        <v>35.518506347709831</v>
      </c>
      <c r="AB176">
        <v>33.940309108288815</v>
      </c>
      <c r="AC176">
        <v>38.41383260300114</v>
      </c>
      <c r="AD176">
        <v>37.875153795611602</v>
      </c>
      <c r="AE176">
        <v>26.720844236161362</v>
      </c>
      <c r="AF176">
        <v>26.482682227660007</v>
      </c>
      <c r="AG176">
        <v>37.715328381881918</v>
      </c>
      <c r="AH176">
        <v>5.3830261358960412</v>
      </c>
      <c r="AI176">
        <v>0.21288113938189412</v>
      </c>
      <c r="AJ176">
        <v>0.21288113938189412</v>
      </c>
      <c r="AK176">
        <v>2.7592467637144465E-2</v>
      </c>
      <c r="AL176">
        <v>2.145652202768892</v>
      </c>
    </row>
    <row r="177" spans="1:38">
      <c r="A177" t="s">
        <v>10</v>
      </c>
      <c r="B177" t="s">
        <v>94</v>
      </c>
      <c r="C177">
        <v>240819</v>
      </c>
      <c r="D177" t="s">
        <v>276</v>
      </c>
      <c r="E177" t="s">
        <v>607</v>
      </c>
      <c r="F177" t="s">
        <v>766</v>
      </c>
      <c r="G177">
        <v>1.5469999999999999</v>
      </c>
      <c r="H177">
        <v>41.2</v>
      </c>
      <c r="I177">
        <v>25.1</v>
      </c>
      <c r="J177">
        <v>31</v>
      </c>
      <c r="K177">
        <v>9.3000000000000007</v>
      </c>
      <c r="L177">
        <v>39.700000000000003</v>
      </c>
      <c r="M177" t="s">
        <v>780</v>
      </c>
      <c r="N177" t="s">
        <v>787</v>
      </c>
      <c r="O177">
        <v>12.72</v>
      </c>
      <c r="P177">
        <v>181.9</v>
      </c>
      <c r="Q177">
        <v>180.8</v>
      </c>
      <c r="R177">
        <v>41.3</v>
      </c>
      <c r="S177">
        <v>155.5</v>
      </c>
      <c r="T177">
        <v>0</v>
      </c>
      <c r="U177" t="s">
        <v>797</v>
      </c>
      <c r="V177">
        <v>12.2</v>
      </c>
      <c r="W177">
        <v>0.55000000000000004</v>
      </c>
      <c r="X177" t="s">
        <v>805</v>
      </c>
      <c r="Y177">
        <v>85.49</v>
      </c>
      <c r="Z177" t="s">
        <v>811</v>
      </c>
      <c r="AA177">
        <v>35.271577107220843</v>
      </c>
      <c r="AB177">
        <v>35.337050140483107</v>
      </c>
      <c r="AC177">
        <v>36.78625465580572</v>
      </c>
      <c r="AD177">
        <v>36.167259877434986</v>
      </c>
      <c r="AE177">
        <v>25.897475167460748</v>
      </c>
      <c r="AF177">
        <v>25.545100273922529</v>
      </c>
      <c r="AG177">
        <v>39.17467124670209</v>
      </c>
      <c r="AH177">
        <v>5.0867127706173605</v>
      </c>
      <c r="AI177">
        <v>0.18800215595468261</v>
      </c>
      <c r="AJ177">
        <v>0.18800215595468261</v>
      </c>
      <c r="AK177">
        <v>2.4950837658039435E-2</v>
      </c>
      <c r="AL177">
        <v>2.0275429072036322</v>
      </c>
    </row>
    <row r="178" spans="1:38">
      <c r="A178" t="s">
        <v>11</v>
      </c>
      <c r="B178" t="s">
        <v>94</v>
      </c>
      <c r="C178">
        <v>240819</v>
      </c>
      <c r="D178" t="s">
        <v>277</v>
      </c>
      <c r="E178" t="s">
        <v>608</v>
      </c>
      <c r="F178" t="s">
        <v>766</v>
      </c>
      <c r="G178">
        <v>1.57</v>
      </c>
      <c r="H178">
        <v>47.9</v>
      </c>
      <c r="I178">
        <v>23</v>
      </c>
      <c r="J178">
        <v>31.5</v>
      </c>
      <c r="K178">
        <v>10.1</v>
      </c>
      <c r="L178">
        <v>46.5</v>
      </c>
      <c r="M178" t="s">
        <v>781</v>
      </c>
      <c r="N178" t="s">
        <v>787</v>
      </c>
      <c r="O178">
        <v>13.19</v>
      </c>
      <c r="P178">
        <v>181.8</v>
      </c>
      <c r="Q178">
        <v>178.7</v>
      </c>
      <c r="R178">
        <v>47.3</v>
      </c>
      <c r="S178">
        <v>158.9</v>
      </c>
      <c r="T178">
        <v>0</v>
      </c>
      <c r="U178" t="s">
        <v>796</v>
      </c>
      <c r="V178">
        <v>12.5</v>
      </c>
      <c r="W178">
        <v>0.69</v>
      </c>
      <c r="X178" t="s">
        <v>805</v>
      </c>
      <c r="Y178">
        <v>87.4</v>
      </c>
      <c r="Z178" t="s">
        <v>811</v>
      </c>
      <c r="AA178">
        <v>36.355749326600183</v>
      </c>
      <c r="AB178">
        <v>38.234480723513542</v>
      </c>
      <c r="AC178">
        <v>38.966310996219782</v>
      </c>
      <c r="AD178">
        <v>40.71188705078383</v>
      </c>
      <c r="AE178">
        <v>26.317424045758351</v>
      </c>
      <c r="AF178">
        <v>25.456437715007311</v>
      </c>
      <c r="AG178">
        <v>37.624663331919891</v>
      </c>
      <c r="AH178">
        <v>5.9139209153536774</v>
      </c>
      <c r="AI178">
        <v>0.24587340778843825</v>
      </c>
      <c r="AJ178">
        <v>0.24587340778843825</v>
      </c>
      <c r="AK178">
        <v>3.1277722512638446E-2</v>
      </c>
      <c r="AL178">
        <v>2.3572646906566495</v>
      </c>
    </row>
    <row r="179" spans="1:38">
      <c r="A179" t="s">
        <v>12</v>
      </c>
      <c r="B179" t="s">
        <v>94</v>
      </c>
      <c r="C179">
        <v>240823</v>
      </c>
      <c r="D179" t="s">
        <v>278</v>
      </c>
      <c r="E179" t="s">
        <v>609</v>
      </c>
      <c r="F179" t="s">
        <v>766</v>
      </c>
      <c r="G179">
        <v>1.5249999999999999</v>
      </c>
      <c r="H179">
        <v>36.1</v>
      </c>
      <c r="I179">
        <v>23</v>
      </c>
      <c r="J179">
        <v>27.3</v>
      </c>
      <c r="K179">
        <v>9.1</v>
      </c>
      <c r="L179">
        <v>39.799999999999997</v>
      </c>
      <c r="M179" t="s">
        <v>783</v>
      </c>
      <c r="N179" t="s">
        <v>788</v>
      </c>
      <c r="O179">
        <v>12.65</v>
      </c>
      <c r="P179">
        <v>181.7</v>
      </c>
      <c r="Q179">
        <v>178.4</v>
      </c>
      <c r="R179">
        <v>36.9</v>
      </c>
      <c r="S179">
        <v>153.6</v>
      </c>
      <c r="T179">
        <v>0</v>
      </c>
      <c r="U179" t="s">
        <v>798</v>
      </c>
      <c r="V179">
        <v>11.9</v>
      </c>
      <c r="W179">
        <v>0.72</v>
      </c>
      <c r="X179" t="s">
        <v>805</v>
      </c>
      <c r="Y179">
        <v>84.53</v>
      </c>
      <c r="Z179" t="s">
        <v>811</v>
      </c>
      <c r="AA179">
        <v>32.934052874102093</v>
      </c>
      <c r="AB179">
        <v>35.192188464432832</v>
      </c>
      <c r="AC179">
        <v>38.317137991965296</v>
      </c>
      <c r="AD179">
        <v>38.281070222235925</v>
      </c>
      <c r="AE179">
        <v>24.365567360463295</v>
      </c>
      <c r="AF179">
        <v>24.26597005804177</v>
      </c>
      <c r="AG179">
        <v>39.25569693988443</v>
      </c>
      <c r="AH179">
        <v>4.4570468694001626</v>
      </c>
      <c r="AI179">
        <v>0.17113384730376391</v>
      </c>
      <c r="AJ179">
        <v>0.17113384730376391</v>
      </c>
      <c r="AK179">
        <v>2.0044193762581989E-2</v>
      </c>
      <c r="AL179">
        <v>1.7765606541274543</v>
      </c>
    </row>
    <row r="180" spans="1:38">
      <c r="A180" t="s">
        <v>79</v>
      </c>
      <c r="B180" t="s">
        <v>94</v>
      </c>
      <c r="C180">
        <v>240820</v>
      </c>
      <c r="D180" t="s">
        <v>279</v>
      </c>
      <c r="E180" t="s">
        <v>610</v>
      </c>
      <c r="F180" t="s">
        <v>766</v>
      </c>
      <c r="G180">
        <v>1.5149999999999999</v>
      </c>
      <c r="H180">
        <v>51.3</v>
      </c>
      <c r="I180">
        <v>22.8</v>
      </c>
      <c r="J180">
        <v>33.700000000000003</v>
      </c>
      <c r="K180">
        <v>9.9</v>
      </c>
      <c r="L180">
        <v>52.3</v>
      </c>
      <c r="M180" t="s">
        <v>778</v>
      </c>
      <c r="N180" t="s">
        <v>787</v>
      </c>
      <c r="O180">
        <v>12.82</v>
      </c>
      <c r="P180">
        <v>176.5</v>
      </c>
      <c r="Q180">
        <v>176.1</v>
      </c>
      <c r="R180">
        <v>50.4</v>
      </c>
      <c r="S180">
        <v>152.30000000000001</v>
      </c>
      <c r="T180">
        <v>0</v>
      </c>
      <c r="U180" t="s">
        <v>796</v>
      </c>
      <c r="V180">
        <v>12.5</v>
      </c>
      <c r="W180">
        <v>0.35</v>
      </c>
      <c r="X180" t="s">
        <v>805</v>
      </c>
      <c r="Y180">
        <v>86.29</v>
      </c>
      <c r="Z180" t="s">
        <v>811</v>
      </c>
      <c r="AA180">
        <v>30.832039430315724</v>
      </c>
      <c r="AB180">
        <v>32.356042982073397</v>
      </c>
      <c r="AC180">
        <v>40.176075426899544</v>
      </c>
      <c r="AD180">
        <v>38.927004252005048</v>
      </c>
      <c r="AE180">
        <v>23.848886815331017</v>
      </c>
      <c r="AF180">
        <v>24.381459838588544</v>
      </c>
      <c r="AG180">
        <v>37.677373370508001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 t="s">
        <v>80</v>
      </c>
      <c r="B181" t="s">
        <v>94</v>
      </c>
      <c r="C181">
        <v>240820</v>
      </c>
      <c r="D181" t="s">
        <v>280</v>
      </c>
      <c r="E181" t="s">
        <v>611</v>
      </c>
      <c r="F181" t="s">
        <v>766</v>
      </c>
      <c r="G181">
        <v>1.6230000000000002</v>
      </c>
      <c r="H181">
        <v>46.2</v>
      </c>
      <c r="I181">
        <v>22.8</v>
      </c>
      <c r="J181">
        <v>31</v>
      </c>
      <c r="K181">
        <v>10.199999999999999</v>
      </c>
      <c r="L181">
        <v>45.5</v>
      </c>
      <c r="M181" t="s">
        <v>780</v>
      </c>
      <c r="N181" t="s">
        <v>787</v>
      </c>
      <c r="O181">
        <v>13.6</v>
      </c>
      <c r="P181">
        <v>186.1</v>
      </c>
      <c r="Q181">
        <v>185.1</v>
      </c>
      <c r="R181">
        <v>44.2</v>
      </c>
      <c r="S181">
        <v>163</v>
      </c>
      <c r="T181">
        <v>0</v>
      </c>
      <c r="U181" t="s">
        <v>796</v>
      </c>
      <c r="V181">
        <v>12.5</v>
      </c>
      <c r="W181">
        <v>1.0900000000000001</v>
      </c>
      <c r="X181" t="s">
        <v>806</v>
      </c>
      <c r="Y181">
        <v>87.59</v>
      </c>
      <c r="Z181" t="s">
        <v>811</v>
      </c>
      <c r="AA181">
        <v>36.416854772138485</v>
      </c>
      <c r="AB181">
        <v>37.608271325230454</v>
      </c>
      <c r="AC181">
        <v>41.306486056746444</v>
      </c>
      <c r="AD181">
        <v>41.097427992943459</v>
      </c>
      <c r="AE181">
        <v>25.597695561725821</v>
      </c>
      <c r="AF181">
        <v>26.595936072410911</v>
      </c>
      <c r="AG181">
        <v>39.246057707958876</v>
      </c>
      <c r="AH181">
        <v>5.7040322816146123</v>
      </c>
      <c r="AI181">
        <v>0.2536982919343298</v>
      </c>
      <c r="AJ181">
        <v>0.2536982919343298</v>
      </c>
      <c r="AK181">
        <v>2.353644396836839E-2</v>
      </c>
      <c r="AL181">
        <v>2.2736039396312573</v>
      </c>
    </row>
    <row r="182" spans="1:38">
      <c r="A182" t="s">
        <v>81</v>
      </c>
      <c r="B182" t="s">
        <v>94</v>
      </c>
      <c r="C182">
        <v>240820</v>
      </c>
      <c r="D182" t="s">
        <v>281</v>
      </c>
      <c r="E182" t="s">
        <v>612</v>
      </c>
      <c r="F182" t="s">
        <v>766</v>
      </c>
      <c r="G182">
        <v>1.651</v>
      </c>
      <c r="H182">
        <v>52.4</v>
      </c>
      <c r="I182">
        <v>25.3</v>
      </c>
      <c r="J182">
        <v>33.200000000000003</v>
      </c>
      <c r="K182">
        <v>1.4</v>
      </c>
      <c r="L182">
        <v>47.2</v>
      </c>
      <c r="M182" t="s">
        <v>780</v>
      </c>
      <c r="N182" t="s">
        <v>787</v>
      </c>
      <c r="O182">
        <v>13.74</v>
      </c>
      <c r="P182">
        <v>186.7</v>
      </c>
      <c r="Q182">
        <v>184.3</v>
      </c>
      <c r="R182">
        <v>50.4</v>
      </c>
      <c r="S182">
        <v>164.1</v>
      </c>
      <c r="T182">
        <v>0</v>
      </c>
      <c r="U182" t="s">
        <v>796</v>
      </c>
      <c r="V182">
        <v>12.5</v>
      </c>
      <c r="W182">
        <v>1.29</v>
      </c>
      <c r="X182" t="s">
        <v>806</v>
      </c>
      <c r="Y182">
        <v>87.9</v>
      </c>
      <c r="Z182" t="s">
        <v>811</v>
      </c>
      <c r="AA182">
        <v>35.499457798268566</v>
      </c>
      <c r="AB182">
        <v>35.320196826865278</v>
      </c>
      <c r="AC182">
        <v>42.526717084822145</v>
      </c>
      <c r="AD182">
        <v>42.222652647600185</v>
      </c>
      <c r="AE182">
        <v>26.282640878485097</v>
      </c>
      <c r="AF182">
        <v>26.452633779264449</v>
      </c>
      <c r="AG182">
        <v>42.802760031685622</v>
      </c>
      <c r="AH182">
        <v>6.4695084752512049</v>
      </c>
      <c r="AI182">
        <v>0.25558034984589817</v>
      </c>
      <c r="AJ182">
        <v>0.25558034984589817</v>
      </c>
      <c r="AK182">
        <v>2.548093011779478E-2</v>
      </c>
      <c r="AL182">
        <v>2.5787196198415123</v>
      </c>
    </row>
    <row r="183" spans="1:38">
      <c r="A183" t="s">
        <v>82</v>
      </c>
      <c r="B183" t="s">
        <v>96</v>
      </c>
      <c r="C183">
        <v>240827</v>
      </c>
      <c r="D183" t="s">
        <v>282</v>
      </c>
      <c r="E183" t="s">
        <v>613</v>
      </c>
      <c r="F183" t="s">
        <v>766</v>
      </c>
      <c r="G183">
        <v>1.5219999999999998</v>
      </c>
      <c r="H183">
        <v>43.1</v>
      </c>
      <c r="I183">
        <v>23.1</v>
      </c>
      <c r="J183">
        <v>30.7</v>
      </c>
      <c r="K183">
        <v>8.9</v>
      </c>
      <c r="L183">
        <v>44.9</v>
      </c>
      <c r="M183" t="s">
        <v>784</v>
      </c>
      <c r="N183" t="s">
        <v>787</v>
      </c>
      <c r="O183">
        <v>12.51</v>
      </c>
      <c r="P183">
        <v>175.7</v>
      </c>
      <c r="Q183">
        <v>177.9</v>
      </c>
      <c r="R183">
        <v>41.9</v>
      </c>
      <c r="S183">
        <v>153</v>
      </c>
      <c r="T183">
        <v>0</v>
      </c>
      <c r="U183" t="s">
        <v>797</v>
      </c>
      <c r="V183">
        <v>14.1</v>
      </c>
      <c r="W183">
        <v>-1.62</v>
      </c>
      <c r="X183" t="s">
        <v>808</v>
      </c>
      <c r="Y183">
        <v>87.08</v>
      </c>
      <c r="Z183" t="s">
        <v>811</v>
      </c>
      <c r="AA183">
        <v>35.958281451036697</v>
      </c>
      <c r="AB183">
        <v>35.24473488121216</v>
      </c>
      <c r="AC183">
        <v>36.826297189661872</v>
      </c>
      <c r="AD183">
        <v>35.868473428253921</v>
      </c>
      <c r="AE183">
        <v>24.602674539624736</v>
      </c>
      <c r="AF183">
        <v>24.651774473275289</v>
      </c>
      <c r="AG183">
        <v>35.17700768242112</v>
      </c>
      <c r="AH183">
        <v>5.321294184796316</v>
      </c>
      <c r="AI183">
        <v>0.21321670504702295</v>
      </c>
      <c r="AJ183">
        <v>0.21321670504702295</v>
      </c>
      <c r="AK183">
        <v>2.2630420496021993E-2</v>
      </c>
      <c r="AL183">
        <v>2.1210460995261298</v>
      </c>
    </row>
    <row r="184" spans="1:38">
      <c r="A184" t="s">
        <v>83</v>
      </c>
      <c r="B184" t="s">
        <v>96</v>
      </c>
      <c r="C184">
        <v>240827</v>
      </c>
      <c r="D184" t="s">
        <v>283</v>
      </c>
      <c r="E184" t="s">
        <v>614</v>
      </c>
      <c r="F184" t="s">
        <v>766</v>
      </c>
      <c r="G184">
        <v>1.7809999999999999</v>
      </c>
      <c r="H184">
        <v>65.2</v>
      </c>
      <c r="I184">
        <v>28.1</v>
      </c>
      <c r="J184">
        <v>35.5</v>
      </c>
      <c r="K184">
        <v>10.199999999999999</v>
      </c>
      <c r="L184">
        <v>50.2</v>
      </c>
      <c r="M184" t="s">
        <v>782</v>
      </c>
      <c r="N184" t="s">
        <v>787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 t="s">
        <v>84</v>
      </c>
      <c r="B185" t="s">
        <v>97</v>
      </c>
      <c r="C185">
        <v>240812</v>
      </c>
      <c r="D185" t="s">
        <v>284</v>
      </c>
      <c r="E185" t="s">
        <v>615</v>
      </c>
      <c r="F185" t="s">
        <v>766</v>
      </c>
      <c r="G185">
        <v>1.8240000000000001</v>
      </c>
      <c r="H185">
        <v>73.599999999999994</v>
      </c>
      <c r="I185">
        <v>26.6</v>
      </c>
      <c r="J185">
        <v>37.700000000000003</v>
      </c>
      <c r="K185">
        <v>11.2</v>
      </c>
      <c r="L185">
        <v>57.5</v>
      </c>
      <c r="M185" t="s">
        <v>783</v>
      </c>
      <c r="N185" t="s">
        <v>787</v>
      </c>
      <c r="AA185">
        <v>40.424049618824185</v>
      </c>
      <c r="AB185">
        <v>40.110395523023577</v>
      </c>
      <c r="AC185">
        <v>45.448721035225006</v>
      </c>
      <c r="AD185">
        <v>44.326554754080306</v>
      </c>
      <c r="AE185">
        <v>29.293687987962279</v>
      </c>
      <c r="AF185">
        <v>28.731591545096904</v>
      </c>
      <c r="AG185">
        <v>48.065736238419895</v>
      </c>
      <c r="AH185">
        <v>9.0869432018795546</v>
      </c>
      <c r="AI185">
        <v>0.51608234248844642</v>
      </c>
      <c r="AJ185">
        <v>0.51608234248844642</v>
      </c>
      <c r="AK185">
        <v>4.6336878131087438E-2</v>
      </c>
      <c r="AL185">
        <v>3.6220183973346431</v>
      </c>
    </row>
    <row r="186" spans="1:38">
      <c r="A186" t="s">
        <v>85</v>
      </c>
      <c r="B186" t="s">
        <v>97</v>
      </c>
      <c r="C186">
        <v>240812</v>
      </c>
      <c r="D186" t="s">
        <v>285</v>
      </c>
      <c r="E186" t="s">
        <v>616</v>
      </c>
      <c r="F186" t="s">
        <v>766</v>
      </c>
      <c r="G186">
        <v>1.7230000000000001</v>
      </c>
      <c r="H186">
        <v>56.1</v>
      </c>
      <c r="I186">
        <v>25</v>
      </c>
      <c r="J186">
        <v>32.299999999999997</v>
      </c>
      <c r="K186">
        <v>9.5</v>
      </c>
      <c r="L186">
        <v>49.4</v>
      </c>
      <c r="M186" t="s">
        <v>782</v>
      </c>
      <c r="N186" t="s">
        <v>788</v>
      </c>
      <c r="AA186">
        <v>39.369872617892455</v>
      </c>
      <c r="AB186">
        <v>40.644501164440975</v>
      </c>
      <c r="AC186">
        <v>42.212415253794205</v>
      </c>
      <c r="AD186">
        <v>41.007320247838514</v>
      </c>
      <c r="AE186">
        <v>26.100778594508522</v>
      </c>
      <c r="AF186">
        <v>24.985567349688885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 t="s">
        <v>86</v>
      </c>
      <c r="B187" t="s">
        <v>97</v>
      </c>
      <c r="C187">
        <v>240812</v>
      </c>
      <c r="D187" t="s">
        <v>286</v>
      </c>
      <c r="E187" t="s">
        <v>617</v>
      </c>
      <c r="F187" t="s">
        <v>766</v>
      </c>
      <c r="G187">
        <v>1.82</v>
      </c>
      <c r="H187">
        <v>76.3</v>
      </c>
      <c r="I187">
        <v>26.8</v>
      </c>
      <c r="J187">
        <v>39</v>
      </c>
      <c r="K187">
        <v>11.4</v>
      </c>
      <c r="L187">
        <v>52.4</v>
      </c>
      <c r="M187" t="s">
        <v>782</v>
      </c>
      <c r="N187" t="s">
        <v>787</v>
      </c>
      <c r="O187">
        <v>16.87</v>
      </c>
      <c r="P187">
        <v>183.3</v>
      </c>
      <c r="Q187">
        <v>184.8</v>
      </c>
      <c r="R187">
        <v>73.2</v>
      </c>
      <c r="S187">
        <v>183.4</v>
      </c>
      <c r="T187">
        <v>0</v>
      </c>
      <c r="U187" t="s">
        <v>796</v>
      </c>
      <c r="V187">
        <v>15.3</v>
      </c>
      <c r="W187">
        <v>1.52</v>
      </c>
      <c r="X187" t="s">
        <v>806</v>
      </c>
      <c r="Y187">
        <v>100.05</v>
      </c>
      <c r="Z187" t="s">
        <v>814</v>
      </c>
      <c r="AA187">
        <v>40.955491769685594</v>
      </c>
      <c r="AB187">
        <v>39.403224196187395</v>
      </c>
      <c r="AC187">
        <v>43.820911744065938</v>
      </c>
      <c r="AD187">
        <v>44.627139399780276</v>
      </c>
      <c r="AE187">
        <v>28.109721471438178</v>
      </c>
      <c r="AF187">
        <v>27.915058749973291</v>
      </c>
      <c r="AG187">
        <v>49.512618175888015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>
      <c r="A188" t="s">
        <v>87</v>
      </c>
      <c r="B188" t="s">
        <v>97</v>
      </c>
      <c r="C188">
        <v>240812</v>
      </c>
      <c r="D188" t="s">
        <v>287</v>
      </c>
      <c r="E188" t="s">
        <v>618</v>
      </c>
      <c r="F188" t="s">
        <v>766</v>
      </c>
      <c r="G188">
        <v>1.675</v>
      </c>
      <c r="H188">
        <v>57.1</v>
      </c>
      <c r="I188">
        <v>22.8</v>
      </c>
      <c r="J188">
        <v>34.200000000000003</v>
      </c>
      <c r="K188">
        <v>9.8000000000000007</v>
      </c>
      <c r="L188">
        <v>52.6</v>
      </c>
      <c r="M188" t="s">
        <v>784</v>
      </c>
      <c r="N188" t="s">
        <v>787</v>
      </c>
      <c r="O188">
        <v>14.97</v>
      </c>
      <c r="P188">
        <v>181.3</v>
      </c>
      <c r="Q188">
        <v>177.7</v>
      </c>
      <c r="R188">
        <v>54.8</v>
      </c>
      <c r="S188">
        <v>171.8</v>
      </c>
      <c r="T188">
        <v>0</v>
      </c>
      <c r="U188" t="s">
        <v>796</v>
      </c>
      <c r="V188">
        <v>15.5</v>
      </c>
      <c r="W188">
        <v>-0.51</v>
      </c>
      <c r="X188" t="s">
        <v>805</v>
      </c>
      <c r="Y188">
        <v>94.76</v>
      </c>
      <c r="Z188" t="s">
        <v>813</v>
      </c>
      <c r="AA188">
        <v>39.632467616386315</v>
      </c>
      <c r="AB188">
        <v>37.23167241584035</v>
      </c>
      <c r="AC188">
        <v>41.518079630304499</v>
      </c>
      <c r="AD188">
        <v>43.196527193907279</v>
      </c>
      <c r="AE188">
        <v>24.547176773295515</v>
      </c>
      <c r="AF188">
        <v>24.408921131681325</v>
      </c>
      <c r="AG188">
        <v>42.269356952890703</v>
      </c>
      <c r="AH188">
        <v>7.0497888155886228</v>
      </c>
      <c r="AI188">
        <v>0.32543836565472389</v>
      </c>
      <c r="AJ188">
        <v>0.32543836565472389</v>
      </c>
      <c r="AK188">
        <v>2.5833536168494018E-2</v>
      </c>
      <c r="AL188">
        <v>2.8100169903234806</v>
      </c>
    </row>
    <row r="189" spans="1:38">
      <c r="A189" t="s">
        <v>88</v>
      </c>
      <c r="B189" t="s">
        <v>97</v>
      </c>
      <c r="C189">
        <v>240812</v>
      </c>
      <c r="D189" t="s">
        <v>288</v>
      </c>
      <c r="E189" t="s">
        <v>619</v>
      </c>
      <c r="F189" t="s">
        <v>766</v>
      </c>
      <c r="G189">
        <v>1.7450000000000001</v>
      </c>
      <c r="H189">
        <v>75.099999999999994</v>
      </c>
      <c r="I189">
        <v>25.8</v>
      </c>
      <c r="J189">
        <v>37</v>
      </c>
      <c r="K189">
        <v>10.199999999999999</v>
      </c>
      <c r="L189">
        <v>59.5</v>
      </c>
      <c r="M189" t="s">
        <v>781</v>
      </c>
      <c r="N189" t="s">
        <v>787</v>
      </c>
      <c r="O189">
        <v>16.87</v>
      </c>
      <c r="P189">
        <v>183.4</v>
      </c>
      <c r="Q189">
        <v>184.8</v>
      </c>
      <c r="R189">
        <v>61.7</v>
      </c>
      <c r="S189">
        <v>183.2</v>
      </c>
      <c r="T189">
        <v>0</v>
      </c>
      <c r="U189" t="s">
        <v>797</v>
      </c>
      <c r="V189">
        <v>15.2</v>
      </c>
      <c r="W189">
        <v>1.65</v>
      </c>
      <c r="X189" t="s">
        <v>806</v>
      </c>
      <c r="Y189">
        <v>99.89</v>
      </c>
      <c r="Z189" t="s">
        <v>814</v>
      </c>
      <c r="AA189">
        <v>41.16744001536825</v>
      </c>
      <c r="AB189">
        <v>40.425367842421117</v>
      </c>
      <c r="AC189">
        <v>41.940675886044211</v>
      </c>
      <c r="AD189">
        <v>41.502259685145823</v>
      </c>
      <c r="AE189">
        <v>25.021722908246012</v>
      </c>
      <c r="AF189">
        <v>25.834935718833595</v>
      </c>
      <c r="AG189">
        <v>46.079687976649261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 t="s">
        <v>15</v>
      </c>
      <c r="B190" t="s">
        <v>95</v>
      </c>
      <c r="C190">
        <v>240822</v>
      </c>
      <c r="D190" t="s">
        <v>289</v>
      </c>
      <c r="E190" t="s">
        <v>620</v>
      </c>
      <c r="F190" t="s">
        <v>766</v>
      </c>
      <c r="G190">
        <v>1.536</v>
      </c>
      <c r="H190">
        <v>47.7</v>
      </c>
      <c r="I190">
        <v>26</v>
      </c>
      <c r="J190">
        <v>33.1</v>
      </c>
      <c r="K190">
        <v>9.6999999999999993</v>
      </c>
      <c r="L190">
        <v>48.2</v>
      </c>
      <c r="M190" t="s">
        <v>778</v>
      </c>
      <c r="N190" t="s">
        <v>787</v>
      </c>
      <c r="O190">
        <v>12.73</v>
      </c>
      <c r="P190">
        <v>177.3</v>
      </c>
      <c r="Q190">
        <v>178.4</v>
      </c>
      <c r="R190">
        <v>48.3</v>
      </c>
      <c r="S190">
        <v>154.30000000000001</v>
      </c>
      <c r="T190">
        <v>0</v>
      </c>
      <c r="U190" t="s">
        <v>798</v>
      </c>
      <c r="V190">
        <v>12.9</v>
      </c>
      <c r="W190">
        <v>-0.15</v>
      </c>
      <c r="X190" t="s">
        <v>805</v>
      </c>
      <c r="Y190">
        <v>87.03</v>
      </c>
      <c r="Z190" t="s">
        <v>811</v>
      </c>
      <c r="AA190">
        <v>33.137961659304111</v>
      </c>
      <c r="AB190">
        <v>34.584883718108074</v>
      </c>
      <c r="AC190">
        <v>40.373041627420548</v>
      </c>
      <c r="AD190">
        <v>39.479172817491062</v>
      </c>
      <c r="AE190">
        <v>25.966252008832811</v>
      </c>
      <c r="AF190">
        <v>26.186291684754565</v>
      </c>
      <c r="AG190">
        <v>37.076632157121139</v>
      </c>
      <c r="AH190">
        <v>5.8892281349137887</v>
      </c>
      <c r="AI190">
        <v>0.24055493756276303</v>
      </c>
      <c r="AJ190">
        <v>0.24055493756276303</v>
      </c>
      <c r="AK190">
        <v>2.6595148133086787E-2</v>
      </c>
      <c r="AL190">
        <v>2.3474222493595449</v>
      </c>
    </row>
    <row r="191" spans="1:38">
      <c r="A191" t="s">
        <v>16</v>
      </c>
      <c r="B191" t="s">
        <v>95</v>
      </c>
      <c r="C191">
        <v>240822</v>
      </c>
      <c r="D191" t="s">
        <v>290</v>
      </c>
      <c r="E191" t="s">
        <v>621</v>
      </c>
      <c r="F191" t="s">
        <v>766</v>
      </c>
      <c r="G191">
        <v>1.681</v>
      </c>
      <c r="H191">
        <v>56.9</v>
      </c>
      <c r="I191">
        <v>23.6</v>
      </c>
      <c r="J191">
        <v>33.6</v>
      </c>
      <c r="K191">
        <v>9.4</v>
      </c>
      <c r="L191">
        <v>49.9</v>
      </c>
      <c r="M191" t="s">
        <v>779</v>
      </c>
      <c r="N191" t="s">
        <v>787</v>
      </c>
      <c r="AA191">
        <v>37.553057189706848</v>
      </c>
      <c r="AB191">
        <v>38.218780606494008</v>
      </c>
      <c r="AC191">
        <v>40.996645766130918</v>
      </c>
      <c r="AD191">
        <v>39.658069416714703</v>
      </c>
      <c r="AE191">
        <v>25.178811311003113</v>
      </c>
      <c r="AF191">
        <v>25.190968400623387</v>
      </c>
      <c r="AG191">
        <v>44.140190649836725</v>
      </c>
      <c r="AH191">
        <v>7.0250960351487324</v>
      </c>
      <c r="AI191">
        <v>0.33312805178642324</v>
      </c>
      <c r="AJ191">
        <v>0.33312805178642324</v>
      </c>
      <c r="AK191">
        <v>3.4371080181600532E-2</v>
      </c>
      <c r="AL191">
        <v>2.8001745490263752</v>
      </c>
    </row>
    <row r="192" spans="1:38">
      <c r="A192" t="s">
        <v>89</v>
      </c>
      <c r="B192" t="s">
        <v>96</v>
      </c>
      <c r="C192">
        <v>240827</v>
      </c>
      <c r="D192" t="s">
        <v>291</v>
      </c>
      <c r="E192" t="s">
        <v>622</v>
      </c>
      <c r="F192" t="s">
        <v>766</v>
      </c>
      <c r="G192">
        <v>1.6909999999999998</v>
      </c>
      <c r="H192">
        <v>62</v>
      </c>
      <c r="I192">
        <v>25.2</v>
      </c>
      <c r="J192">
        <v>36</v>
      </c>
      <c r="K192">
        <v>9.5</v>
      </c>
      <c r="L192">
        <v>51.9</v>
      </c>
      <c r="M192" t="s">
        <v>779</v>
      </c>
      <c r="N192" t="s">
        <v>787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 t="s">
        <v>18</v>
      </c>
      <c r="B193" t="s">
        <v>95</v>
      </c>
      <c r="C193">
        <v>240823</v>
      </c>
      <c r="D193" t="s">
        <v>292</v>
      </c>
      <c r="E193" t="s">
        <v>623</v>
      </c>
      <c r="F193" t="s">
        <v>766</v>
      </c>
      <c r="G193">
        <v>1.581</v>
      </c>
      <c r="H193">
        <v>44.4</v>
      </c>
      <c r="I193">
        <v>23</v>
      </c>
      <c r="J193">
        <v>31.5</v>
      </c>
      <c r="K193">
        <v>9.1999999999999993</v>
      </c>
      <c r="L193">
        <v>45.6</v>
      </c>
      <c r="M193" t="s">
        <v>784</v>
      </c>
      <c r="N193" t="s">
        <v>787</v>
      </c>
      <c r="O193">
        <v>13.69</v>
      </c>
      <c r="P193">
        <v>178.1</v>
      </c>
      <c r="Q193">
        <v>174</v>
      </c>
      <c r="R193">
        <v>44.9</v>
      </c>
      <c r="S193">
        <v>153</v>
      </c>
      <c r="T193">
        <v>0</v>
      </c>
      <c r="U193" t="s">
        <v>796</v>
      </c>
      <c r="V193">
        <v>13.3</v>
      </c>
      <c r="W193">
        <v>0.35</v>
      </c>
      <c r="X193" t="s">
        <v>805</v>
      </c>
      <c r="Y193">
        <v>85.91</v>
      </c>
      <c r="Z193" t="s">
        <v>811</v>
      </c>
      <c r="AA193">
        <v>35.696333488702194</v>
      </c>
      <c r="AB193">
        <v>35.670675891682819</v>
      </c>
      <c r="AC193">
        <v>38.215727902229006</v>
      </c>
      <c r="AD193">
        <v>63.659785870367372</v>
      </c>
      <c r="AE193">
        <v>24.381151579651029</v>
      </c>
      <c r="AF193">
        <v>23.897151993546135</v>
      </c>
      <c r="AG193">
        <v>38.846615005116192</v>
      </c>
      <c r="AH193">
        <v>5.4817972576556002</v>
      </c>
      <c r="AI193">
        <v>0.24078137283117326</v>
      </c>
      <c r="AJ193">
        <v>0.24078137283117326</v>
      </c>
      <c r="AK193">
        <v>2.1310366501739324E-2</v>
      </c>
      <c r="AL193">
        <v>2.185021967957312</v>
      </c>
    </row>
    <row r="194" spans="1:38">
      <c r="A194" t="s">
        <v>21</v>
      </c>
      <c r="B194" t="s">
        <v>96</v>
      </c>
      <c r="C194">
        <v>240820</v>
      </c>
      <c r="D194" t="s">
        <v>293</v>
      </c>
      <c r="E194" t="s">
        <v>624</v>
      </c>
      <c r="F194" t="s">
        <v>766</v>
      </c>
      <c r="G194">
        <v>1.7190000000000001</v>
      </c>
      <c r="H194">
        <v>56.4</v>
      </c>
      <c r="I194">
        <v>25.5</v>
      </c>
      <c r="J194">
        <v>35</v>
      </c>
      <c r="K194">
        <v>9.6999999999999993</v>
      </c>
      <c r="L194">
        <v>48.4</v>
      </c>
      <c r="M194" t="s">
        <v>783</v>
      </c>
      <c r="N194" t="s">
        <v>787</v>
      </c>
      <c r="O194">
        <v>15.19</v>
      </c>
      <c r="P194">
        <v>181.6</v>
      </c>
      <c r="Q194">
        <v>176.8</v>
      </c>
      <c r="R194">
        <v>54.5</v>
      </c>
      <c r="S194">
        <v>171.5</v>
      </c>
      <c r="T194">
        <v>0</v>
      </c>
      <c r="U194" t="s">
        <v>797</v>
      </c>
      <c r="V194">
        <v>14.2</v>
      </c>
      <c r="W194">
        <v>0.96</v>
      </c>
      <c r="X194" t="s">
        <v>805</v>
      </c>
      <c r="Y194">
        <v>94.44</v>
      </c>
      <c r="Z194" t="s">
        <v>813</v>
      </c>
      <c r="AA194">
        <v>38.456783478582935</v>
      </c>
      <c r="AB194">
        <v>37.884146360934167</v>
      </c>
      <c r="AC194">
        <v>42.373575445089649</v>
      </c>
      <c r="AD194">
        <v>43.386165870141539</v>
      </c>
      <c r="AE194">
        <v>26.672820701069003</v>
      </c>
      <c r="AF194">
        <v>25.640684175527706</v>
      </c>
      <c r="AG194">
        <v>42.820493735454427</v>
      </c>
      <c r="AH194">
        <v>6.9633640840490063</v>
      </c>
      <c r="AI194">
        <v>0.34224711693160992</v>
      </c>
      <c r="AJ194">
        <v>0.34224711693160992</v>
      </c>
      <c r="AK194">
        <v>3.8304489906569629E-2</v>
      </c>
      <c r="AL194">
        <v>2.7755684457836125</v>
      </c>
    </row>
    <row r="195" spans="1:38">
      <c r="A195" t="s">
        <v>24</v>
      </c>
      <c r="B195" t="s">
        <v>96</v>
      </c>
      <c r="C195">
        <v>240820</v>
      </c>
      <c r="D195" t="s">
        <v>294</v>
      </c>
      <c r="E195" t="s">
        <v>625</v>
      </c>
      <c r="F195" t="s">
        <v>766</v>
      </c>
      <c r="G195">
        <v>1.673</v>
      </c>
      <c r="H195">
        <v>60.5</v>
      </c>
      <c r="I195">
        <v>25</v>
      </c>
      <c r="J195">
        <v>36.5</v>
      </c>
      <c r="K195">
        <v>9.9</v>
      </c>
      <c r="L195">
        <v>52.8</v>
      </c>
      <c r="M195" t="s">
        <v>783</v>
      </c>
      <c r="N195" t="s">
        <v>787</v>
      </c>
      <c r="O195">
        <v>14.81</v>
      </c>
      <c r="P195">
        <v>179.4</v>
      </c>
      <c r="Q195">
        <v>175.4</v>
      </c>
      <c r="R195">
        <v>61</v>
      </c>
      <c r="S195">
        <v>168</v>
      </c>
      <c r="T195">
        <v>0</v>
      </c>
      <c r="U195" t="s">
        <v>797</v>
      </c>
      <c r="V195">
        <v>14.3</v>
      </c>
      <c r="W195">
        <v>0.52</v>
      </c>
      <c r="X195" t="s">
        <v>805</v>
      </c>
      <c r="Y195">
        <v>93.65</v>
      </c>
      <c r="Z195" t="s">
        <v>813</v>
      </c>
      <c r="AA195">
        <v>39.213799880237374</v>
      </c>
      <c r="AB195">
        <v>37.663406642434275</v>
      </c>
      <c r="AC195">
        <v>41.496652142759892</v>
      </c>
      <c r="AD195">
        <v>40.297428686030223</v>
      </c>
      <c r="AE195">
        <v>25.637476432586773</v>
      </c>
      <c r="AF195">
        <v>26.488280831304678</v>
      </c>
      <c r="AG195">
        <v>42.303967855117008</v>
      </c>
      <c r="AH195">
        <v>7.4695660830667538</v>
      </c>
      <c r="AI195">
        <v>0.35152540942319743</v>
      </c>
      <c r="AJ195">
        <v>0.35152540942319743</v>
      </c>
      <c r="AK195">
        <v>3.4291220300650536E-2</v>
      </c>
      <c r="AL195">
        <v>2.9773384923742654</v>
      </c>
    </row>
    <row r="196" spans="1:38">
      <c r="A196" t="s">
        <v>25</v>
      </c>
      <c r="B196" t="s">
        <v>96</v>
      </c>
      <c r="C196">
        <v>240820</v>
      </c>
      <c r="D196" t="s">
        <v>295</v>
      </c>
      <c r="E196" t="s">
        <v>626</v>
      </c>
      <c r="F196" t="s">
        <v>766</v>
      </c>
      <c r="G196">
        <v>1.6640000000000001</v>
      </c>
      <c r="H196">
        <v>60.7</v>
      </c>
      <c r="I196">
        <v>23.5</v>
      </c>
      <c r="J196">
        <v>36</v>
      </c>
      <c r="K196">
        <v>10</v>
      </c>
      <c r="L196">
        <v>522</v>
      </c>
      <c r="M196" t="s">
        <v>784</v>
      </c>
      <c r="N196" t="s">
        <v>787</v>
      </c>
      <c r="O196">
        <v>15.42</v>
      </c>
      <c r="P196">
        <v>173.2</v>
      </c>
      <c r="Q196">
        <v>0</v>
      </c>
      <c r="R196">
        <v>60.5</v>
      </c>
      <c r="S196">
        <v>167.8</v>
      </c>
      <c r="T196">
        <v>0</v>
      </c>
      <c r="U196" t="s">
        <v>796</v>
      </c>
      <c r="V196">
        <v>14.5</v>
      </c>
      <c r="W196">
        <v>0.88</v>
      </c>
      <c r="X196" t="s">
        <v>805</v>
      </c>
      <c r="Y196">
        <v>96.88</v>
      </c>
      <c r="Z196" t="s">
        <v>813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 t="s">
        <v>26</v>
      </c>
      <c r="B197" t="s">
        <v>96</v>
      </c>
      <c r="C197">
        <v>240820</v>
      </c>
      <c r="D197" t="s">
        <v>296</v>
      </c>
      <c r="E197" t="s">
        <v>627</v>
      </c>
      <c r="F197" t="s">
        <v>766</v>
      </c>
      <c r="G197">
        <v>1.7330000000000001</v>
      </c>
      <c r="H197">
        <v>66.2</v>
      </c>
      <c r="I197">
        <v>26.8</v>
      </c>
      <c r="J197">
        <v>34.799999999999997</v>
      </c>
      <c r="K197">
        <v>10.7</v>
      </c>
      <c r="L197">
        <v>51</v>
      </c>
      <c r="M197" t="s">
        <v>776</v>
      </c>
      <c r="N197" t="s">
        <v>787</v>
      </c>
      <c r="O197">
        <v>15.08</v>
      </c>
      <c r="P197">
        <v>183</v>
      </c>
      <c r="Q197">
        <v>178.7</v>
      </c>
      <c r="R197">
        <v>64.400000000000006</v>
      </c>
      <c r="S197">
        <v>173.1</v>
      </c>
      <c r="T197">
        <v>0</v>
      </c>
      <c r="U197" t="s">
        <v>797</v>
      </c>
      <c r="V197">
        <v>14.2</v>
      </c>
      <c r="W197">
        <v>0.84</v>
      </c>
      <c r="X197" t="s">
        <v>805</v>
      </c>
      <c r="Y197">
        <v>94.59</v>
      </c>
      <c r="Z197" t="s">
        <v>813</v>
      </c>
      <c r="AA197">
        <v>39.038837440002936</v>
      </c>
      <c r="AB197">
        <v>39.218887551799689</v>
      </c>
      <c r="AC197">
        <v>43.199191642452014</v>
      </c>
      <c r="AD197">
        <v>40.562296589077988</v>
      </c>
      <c r="AE197">
        <v>28.973636883711549</v>
      </c>
      <c r="AF197">
        <v>28.366164244044352</v>
      </c>
      <c r="AG197">
        <v>43.483315366384453</v>
      </c>
      <c r="AH197">
        <v>8.1733103256036213</v>
      </c>
      <c r="AI197">
        <v>0.40646342226428178</v>
      </c>
      <c r="AJ197">
        <v>0.40646342226428178</v>
      </c>
      <c r="AK197">
        <v>4.6797993263518932E-2</v>
      </c>
      <c r="AL197">
        <v>3.2578480693417582</v>
      </c>
    </row>
    <row r="198" spans="1:38">
      <c r="A198" t="s">
        <v>27</v>
      </c>
      <c r="B198" t="s">
        <v>96</v>
      </c>
      <c r="C198">
        <v>240827</v>
      </c>
      <c r="D198" t="s">
        <v>297</v>
      </c>
      <c r="E198" t="s">
        <v>628</v>
      </c>
      <c r="F198" t="s">
        <v>766</v>
      </c>
      <c r="G198">
        <v>1.621</v>
      </c>
      <c r="H198">
        <v>45.6</v>
      </c>
      <c r="I198">
        <v>23.5</v>
      </c>
      <c r="J198">
        <v>30.9</v>
      </c>
      <c r="K198">
        <v>9.3000000000000007</v>
      </c>
      <c r="L198">
        <v>43.4</v>
      </c>
      <c r="M198" t="s">
        <v>776</v>
      </c>
      <c r="N198" t="s">
        <v>787</v>
      </c>
      <c r="O198">
        <v>14.28</v>
      </c>
      <c r="P198">
        <v>178.6</v>
      </c>
      <c r="Q198">
        <v>172.7</v>
      </c>
      <c r="R198">
        <v>45.1</v>
      </c>
      <c r="S198">
        <v>162.30000000000001</v>
      </c>
      <c r="T198">
        <v>0</v>
      </c>
      <c r="U198" t="s">
        <v>799</v>
      </c>
      <c r="V198">
        <v>13.8</v>
      </c>
      <c r="W198">
        <v>0.47</v>
      </c>
      <c r="X198" t="s">
        <v>805</v>
      </c>
      <c r="Y198">
        <v>90.87</v>
      </c>
      <c r="Z198" t="s">
        <v>812</v>
      </c>
      <c r="AA198">
        <v>36.47350402202548</v>
      </c>
      <c r="AB198">
        <v>36.785409632335949</v>
      </c>
      <c r="AC198">
        <v>39.544283720202394</v>
      </c>
      <c r="AD198">
        <v>39.701086463236834</v>
      </c>
      <c r="AE198">
        <v>25.773507866245872</v>
      </c>
      <c r="AF198">
        <v>25.399709270008341</v>
      </c>
      <c r="AG198">
        <v>40.053372822322821</v>
      </c>
      <c r="AH198">
        <v>5.6299539402949419</v>
      </c>
      <c r="AI198">
        <v>0.25841653507613782</v>
      </c>
      <c r="AJ198">
        <v>0.25841653507613782</v>
      </c>
      <c r="AK198">
        <v>2.2286733336580707E-2</v>
      </c>
      <c r="AL198">
        <v>2.2440766157399423</v>
      </c>
    </row>
    <row r="199" spans="1:38">
      <c r="A199" t="s">
        <v>28</v>
      </c>
      <c r="B199" t="s">
        <v>96</v>
      </c>
      <c r="C199">
        <v>240820</v>
      </c>
      <c r="D199" t="s">
        <v>298</v>
      </c>
      <c r="E199" t="s">
        <v>629</v>
      </c>
      <c r="F199" t="s">
        <v>766</v>
      </c>
      <c r="G199">
        <v>1.7169999999999999</v>
      </c>
      <c r="H199">
        <v>57.4</v>
      </c>
      <c r="I199">
        <v>27.2</v>
      </c>
      <c r="J199">
        <v>34.5</v>
      </c>
      <c r="K199">
        <v>9.9</v>
      </c>
      <c r="L199">
        <v>47.5</v>
      </c>
      <c r="M199" t="s">
        <v>782</v>
      </c>
      <c r="N199" t="s">
        <v>787</v>
      </c>
      <c r="O199">
        <v>15.39</v>
      </c>
      <c r="P199">
        <v>178.9</v>
      </c>
      <c r="Q199">
        <v>176.2</v>
      </c>
      <c r="R199">
        <v>56.8</v>
      </c>
      <c r="S199">
        <v>171.7</v>
      </c>
      <c r="T199">
        <v>0</v>
      </c>
      <c r="U199" t="s">
        <v>799</v>
      </c>
      <c r="V199">
        <v>13.8</v>
      </c>
      <c r="W199">
        <v>1.62</v>
      </c>
      <c r="X199" t="s">
        <v>806</v>
      </c>
      <c r="Y199">
        <v>95.98</v>
      </c>
      <c r="Z199" t="s">
        <v>813</v>
      </c>
      <c r="AA199">
        <v>40.352124757466605</v>
      </c>
      <c r="AB199">
        <v>39.311486300525658</v>
      </c>
      <c r="AC199">
        <v>44.169104519526051</v>
      </c>
      <c r="AD199">
        <v>45.085903737934821</v>
      </c>
      <c r="AE199">
        <v>26.419647515075109</v>
      </c>
      <c r="AF199">
        <v>26.373662590601889</v>
      </c>
      <c r="AG199">
        <v>42.169479353779565</v>
      </c>
      <c r="AH199">
        <v>7.0868279862484576</v>
      </c>
      <c r="AI199">
        <v>0.35717997153642322</v>
      </c>
      <c r="AJ199">
        <v>0.35717997153642322</v>
      </c>
      <c r="AK199">
        <v>4.0551397825810652E-2</v>
      </c>
      <c r="AL199">
        <v>2.8247806522691379</v>
      </c>
    </row>
    <row r="200" spans="1:38">
      <c r="A200" t="s">
        <v>30</v>
      </c>
      <c r="B200" t="s">
        <v>96</v>
      </c>
      <c r="C200">
        <v>240820</v>
      </c>
      <c r="D200" t="s">
        <v>299</v>
      </c>
      <c r="E200" t="s">
        <v>630</v>
      </c>
      <c r="F200" t="s">
        <v>766</v>
      </c>
      <c r="G200">
        <v>1.8030000000000002</v>
      </c>
      <c r="H200">
        <v>61.9</v>
      </c>
      <c r="I200">
        <v>25.8</v>
      </c>
      <c r="J200">
        <v>34</v>
      </c>
      <c r="K200">
        <v>10</v>
      </c>
      <c r="L200">
        <v>47.3</v>
      </c>
      <c r="M200" t="s">
        <v>783</v>
      </c>
      <c r="N200" t="s">
        <v>787</v>
      </c>
      <c r="O200">
        <v>16.68</v>
      </c>
      <c r="P200">
        <v>183.4</v>
      </c>
      <c r="Q200">
        <v>183.2</v>
      </c>
      <c r="R200">
        <v>62.8</v>
      </c>
      <c r="S200">
        <v>180.5</v>
      </c>
      <c r="T200">
        <v>0</v>
      </c>
      <c r="U200" t="s">
        <v>796</v>
      </c>
      <c r="V200">
        <v>14.3</v>
      </c>
      <c r="W200">
        <v>2.38</v>
      </c>
      <c r="X200" t="s">
        <v>804</v>
      </c>
      <c r="Y200">
        <v>98.42</v>
      </c>
      <c r="Z200" t="s">
        <v>814</v>
      </c>
      <c r="AA200">
        <v>42.30022070297268</v>
      </c>
      <c r="AB200">
        <v>41.660792136474683</v>
      </c>
      <c r="AC200">
        <v>47.362815972345501</v>
      </c>
      <c r="AD200">
        <v>47.192173567899339</v>
      </c>
      <c r="AE200">
        <v>27.232057471672114</v>
      </c>
      <c r="AF200">
        <v>26.846297249897439</v>
      </c>
      <c r="AG200">
        <v>45.246126770211433</v>
      </c>
      <c r="AH200">
        <v>7.6424155461459842</v>
      </c>
      <c r="AI200">
        <v>0.43397528741039382</v>
      </c>
      <c r="AJ200">
        <v>0.43397528741039382</v>
      </c>
      <c r="AK200">
        <v>3.7418426745149967E-2</v>
      </c>
      <c r="AL200">
        <v>3.0462355814540003</v>
      </c>
    </row>
    <row r="201" spans="1:38">
      <c r="A201" t="s">
        <v>34</v>
      </c>
      <c r="B201" t="s">
        <v>97</v>
      </c>
      <c r="C201">
        <v>240812</v>
      </c>
      <c r="D201" t="s">
        <v>300</v>
      </c>
      <c r="E201" t="s">
        <v>631</v>
      </c>
      <c r="F201" t="s">
        <v>766</v>
      </c>
      <c r="G201">
        <v>1.6980000000000002</v>
      </c>
      <c r="H201">
        <v>64.8</v>
      </c>
      <c r="I201">
        <v>25</v>
      </c>
      <c r="J201">
        <v>35.700000000000003</v>
      </c>
      <c r="K201">
        <v>11.3</v>
      </c>
      <c r="L201">
        <v>54.7</v>
      </c>
      <c r="M201" t="s">
        <v>782</v>
      </c>
      <c r="N201" t="s">
        <v>787</v>
      </c>
      <c r="O201">
        <v>15.33</v>
      </c>
      <c r="P201">
        <v>178.5</v>
      </c>
      <c r="Q201">
        <v>174.7</v>
      </c>
      <c r="R201">
        <v>65.8</v>
      </c>
      <c r="S201">
        <v>169.8</v>
      </c>
      <c r="T201">
        <v>0</v>
      </c>
      <c r="U201" t="s">
        <v>797</v>
      </c>
      <c r="V201">
        <v>15.2</v>
      </c>
      <c r="W201">
        <v>0.13</v>
      </c>
      <c r="X201" t="s">
        <v>805</v>
      </c>
      <c r="Y201">
        <v>95.13</v>
      </c>
      <c r="Z201" t="s">
        <v>813</v>
      </c>
      <c r="AA201">
        <v>40.511560621032331</v>
      </c>
      <c r="AB201">
        <v>39.384750383366416</v>
      </c>
      <c r="AC201">
        <v>42.231498375959504</v>
      </c>
      <c r="AD201">
        <v>39.75203936209649</v>
      </c>
      <c r="AE201">
        <v>26.977427114346142</v>
      </c>
      <c r="AF201">
        <v>27.065488158153592</v>
      </c>
      <c r="AG201">
        <v>42.645014909733611</v>
      </c>
      <c r="AH201">
        <v>8.00046086252439</v>
      </c>
      <c r="AI201">
        <v>0.41016465167099458</v>
      </c>
      <c r="AJ201">
        <v>0.41016465167099458</v>
      </c>
      <c r="AK201">
        <v>3.9707369613002037E-2</v>
      </c>
      <c r="AL201">
        <v>3.1889509802620228</v>
      </c>
    </row>
    <row r="202" spans="1:38">
      <c r="A202" t="s">
        <v>35</v>
      </c>
      <c r="B202" t="s">
        <v>97</v>
      </c>
      <c r="C202">
        <v>240826</v>
      </c>
      <c r="D202" t="s">
        <v>301</v>
      </c>
      <c r="E202" t="s">
        <v>632</v>
      </c>
      <c r="F202" t="s">
        <v>766</v>
      </c>
      <c r="G202">
        <v>1.716</v>
      </c>
      <c r="H202">
        <v>59.8</v>
      </c>
      <c r="I202">
        <v>22.8</v>
      </c>
      <c r="J202">
        <v>33.1</v>
      </c>
      <c r="K202">
        <v>9</v>
      </c>
      <c r="L202">
        <v>50.7</v>
      </c>
      <c r="M202" t="s">
        <v>783</v>
      </c>
      <c r="N202" t="s">
        <v>787</v>
      </c>
      <c r="O202">
        <v>15.83</v>
      </c>
      <c r="P202">
        <v>178.2</v>
      </c>
      <c r="Q202">
        <v>175.5</v>
      </c>
      <c r="R202">
        <v>61.4</v>
      </c>
      <c r="S202">
        <v>171.6</v>
      </c>
      <c r="T202">
        <v>0</v>
      </c>
      <c r="U202" t="s">
        <v>796</v>
      </c>
      <c r="V202">
        <v>15.4</v>
      </c>
      <c r="W202">
        <v>0.39</v>
      </c>
      <c r="X202" t="s">
        <v>805</v>
      </c>
      <c r="Y202">
        <v>96.3</v>
      </c>
      <c r="Z202" t="s">
        <v>813</v>
      </c>
      <c r="AA202">
        <v>40.517310172662839</v>
      </c>
      <c r="AB202">
        <v>41.890918604701312</v>
      </c>
      <c r="AC202">
        <v>42.572473361530115</v>
      </c>
      <c r="AD202">
        <v>41.780277813358254</v>
      </c>
      <c r="AE202">
        <v>25.390385319736403</v>
      </c>
      <c r="AF202">
        <v>25.205768486501299</v>
      </c>
      <c r="AG202">
        <v>44.126008197538056</v>
      </c>
      <c r="AH202">
        <v>7.3831413515271382</v>
      </c>
      <c r="AI202">
        <v>0.39777063880920671</v>
      </c>
      <c r="AJ202">
        <v>0.39777063880920671</v>
      </c>
      <c r="AK202">
        <v>3.4612615963983795E-2</v>
      </c>
      <c r="AL202">
        <v>2.9428899478343977</v>
      </c>
    </row>
    <row r="203" spans="1:38">
      <c r="A203" t="s">
        <v>36</v>
      </c>
      <c r="B203" t="s">
        <v>97</v>
      </c>
      <c r="C203">
        <v>240821</v>
      </c>
      <c r="D203" t="s">
        <v>302</v>
      </c>
      <c r="E203" t="s">
        <v>633</v>
      </c>
      <c r="F203" t="s">
        <v>766</v>
      </c>
      <c r="G203">
        <v>1.7</v>
      </c>
      <c r="H203">
        <v>59.7</v>
      </c>
      <c r="I203">
        <v>22.3</v>
      </c>
      <c r="J203">
        <v>33.200000000000003</v>
      </c>
      <c r="K203">
        <v>9.6999999999999993</v>
      </c>
      <c r="L203">
        <v>50.4</v>
      </c>
      <c r="M203" t="s">
        <v>777</v>
      </c>
      <c r="N203" t="s">
        <v>788</v>
      </c>
      <c r="O203">
        <v>15.47</v>
      </c>
      <c r="P203">
        <v>177.6</v>
      </c>
      <c r="Q203">
        <v>175.2</v>
      </c>
      <c r="R203">
        <v>60.2</v>
      </c>
      <c r="S203">
        <v>171</v>
      </c>
      <c r="T203">
        <v>0</v>
      </c>
      <c r="U203" t="s">
        <v>799</v>
      </c>
      <c r="V203">
        <v>14.7</v>
      </c>
      <c r="W203">
        <v>0.79</v>
      </c>
      <c r="X203" t="s">
        <v>805</v>
      </c>
      <c r="Y203">
        <v>96.28</v>
      </c>
      <c r="Z203" t="s">
        <v>813</v>
      </c>
      <c r="AA203">
        <v>35.626568754079472</v>
      </c>
      <c r="AB203">
        <v>38.227299767919405</v>
      </c>
      <c r="AC203">
        <v>40.724247318811869</v>
      </c>
      <c r="AD203">
        <v>41.286157297115324</v>
      </c>
      <c r="AE203">
        <v>27.26094647666244</v>
      </c>
      <c r="AF203">
        <v>26.319580727062288</v>
      </c>
      <c r="AG203">
        <v>45.514835302018199</v>
      </c>
      <c r="AH203">
        <v>7.3707949613071939</v>
      </c>
      <c r="AI203">
        <v>0.34368629030754494</v>
      </c>
      <c r="AJ203">
        <v>0.34368629030754494</v>
      </c>
      <c r="AK203">
        <v>3.8002482906229103E-2</v>
      </c>
      <c r="AL203">
        <v>2.9379687271858455</v>
      </c>
    </row>
    <row r="204" spans="1:38">
      <c r="A204" t="s">
        <v>37</v>
      </c>
      <c r="B204" t="s">
        <v>97</v>
      </c>
      <c r="C204">
        <v>240826</v>
      </c>
      <c r="D204" t="s">
        <v>303</v>
      </c>
      <c r="E204" t="s">
        <v>634</v>
      </c>
      <c r="F204" t="s">
        <v>766</v>
      </c>
      <c r="G204">
        <v>1.716</v>
      </c>
      <c r="H204">
        <v>59.1</v>
      </c>
      <c r="I204">
        <v>23.4</v>
      </c>
      <c r="J204">
        <v>34.299999999999997</v>
      </c>
      <c r="K204">
        <v>9.5</v>
      </c>
      <c r="L204">
        <v>49.4</v>
      </c>
      <c r="M204" t="s">
        <v>784</v>
      </c>
      <c r="N204" t="s">
        <v>787</v>
      </c>
      <c r="O204">
        <v>15.17</v>
      </c>
      <c r="P204">
        <v>178.8</v>
      </c>
      <c r="Q204">
        <v>175.7</v>
      </c>
      <c r="R204">
        <v>58.3</v>
      </c>
      <c r="S204">
        <v>171.2</v>
      </c>
      <c r="T204">
        <v>0</v>
      </c>
      <c r="U204" t="s">
        <v>799</v>
      </c>
      <c r="V204">
        <v>14.7</v>
      </c>
      <c r="W204">
        <v>0.48</v>
      </c>
      <c r="X204" t="s">
        <v>805</v>
      </c>
      <c r="Y204">
        <v>95.75</v>
      </c>
      <c r="Z204" t="s">
        <v>813</v>
      </c>
      <c r="AA204">
        <v>42.071348868074907</v>
      </c>
      <c r="AB204">
        <v>38.594463263038435</v>
      </c>
      <c r="AC204">
        <v>43.160353114451382</v>
      </c>
      <c r="AD204">
        <v>44.34582138744976</v>
      </c>
      <c r="AE204">
        <v>25.260715518637159</v>
      </c>
      <c r="AF204">
        <v>24.8088360483932</v>
      </c>
      <c r="AG204">
        <v>44.803591046930769</v>
      </c>
      <c r="AH204">
        <v>7.2967166199875226</v>
      </c>
      <c r="AI204">
        <v>0.37392974717261351</v>
      </c>
      <c r="AJ204">
        <v>0.37392974717261351</v>
      </c>
      <c r="AK204">
        <v>3.6337928109520079E-2</v>
      </c>
      <c r="AL204">
        <v>2.90844140329453</v>
      </c>
    </row>
    <row r="205" spans="1:38">
      <c r="A205" t="s">
        <v>38</v>
      </c>
      <c r="B205" t="s">
        <v>97</v>
      </c>
      <c r="C205">
        <v>240826</v>
      </c>
      <c r="D205" t="s">
        <v>304</v>
      </c>
      <c r="E205" t="s">
        <v>635</v>
      </c>
      <c r="F205" t="s">
        <v>766</v>
      </c>
      <c r="G205">
        <v>1.7749999999999999</v>
      </c>
      <c r="H205">
        <v>64.8</v>
      </c>
      <c r="I205">
        <v>24</v>
      </c>
      <c r="J205">
        <v>33</v>
      </c>
      <c r="K205">
        <v>9.4</v>
      </c>
      <c r="L205">
        <v>50.5</v>
      </c>
      <c r="M205" t="s">
        <v>776</v>
      </c>
      <c r="N205" t="s">
        <v>787</v>
      </c>
      <c r="O205">
        <v>15.68</v>
      </c>
      <c r="P205">
        <v>183.6</v>
      </c>
      <c r="Q205">
        <v>182.7</v>
      </c>
      <c r="R205">
        <v>66.5</v>
      </c>
      <c r="S205">
        <v>178.5</v>
      </c>
      <c r="T205">
        <v>0</v>
      </c>
      <c r="U205" t="s">
        <v>799</v>
      </c>
      <c r="V205">
        <v>14.8</v>
      </c>
      <c r="W205">
        <v>0.93</v>
      </c>
      <c r="X205" t="s">
        <v>805</v>
      </c>
      <c r="Y205">
        <v>97.22</v>
      </c>
      <c r="Z205" t="s">
        <v>814</v>
      </c>
      <c r="AA205">
        <v>43.289356682482484</v>
      </c>
      <c r="AB205">
        <v>45.864894114770536</v>
      </c>
      <c r="AC205">
        <v>46.595419578109251</v>
      </c>
      <c r="AD205">
        <v>41.290413028806114</v>
      </c>
      <c r="AE205">
        <v>26.031318102121286</v>
      </c>
      <c r="AF205">
        <v>27.121629363210957</v>
      </c>
      <c r="AG205">
        <v>43.189117515575255</v>
      </c>
      <c r="AH205">
        <v>8.00046086252439</v>
      </c>
      <c r="AI205">
        <v>0.48096955837688182</v>
      </c>
      <c r="AJ205">
        <v>0.48096955837688182</v>
      </c>
      <c r="AK205">
        <v>3.8223966559246557E-2</v>
      </c>
      <c r="AL205">
        <v>3.1889509802620228</v>
      </c>
    </row>
    <row r="206" spans="1:38">
      <c r="A206" t="s">
        <v>41</v>
      </c>
      <c r="B206" t="s">
        <v>97</v>
      </c>
      <c r="C206">
        <v>240821</v>
      </c>
      <c r="D206" t="s">
        <v>305</v>
      </c>
      <c r="E206" t="s">
        <v>636</v>
      </c>
      <c r="F206" t="s">
        <v>766</v>
      </c>
      <c r="G206">
        <v>1.7280000000000002</v>
      </c>
      <c r="H206">
        <v>69.2</v>
      </c>
      <c r="I206">
        <v>24</v>
      </c>
      <c r="J206">
        <v>37</v>
      </c>
      <c r="L206">
        <v>55.2</v>
      </c>
      <c r="M206" t="s">
        <v>784</v>
      </c>
      <c r="N206" t="s">
        <v>788</v>
      </c>
      <c r="O206">
        <v>16.25</v>
      </c>
      <c r="P206">
        <v>178</v>
      </c>
      <c r="Q206">
        <v>176.6</v>
      </c>
      <c r="R206">
        <v>68.5</v>
      </c>
      <c r="S206">
        <v>174.1</v>
      </c>
      <c r="T206">
        <v>0</v>
      </c>
      <c r="U206" t="s">
        <v>796</v>
      </c>
      <c r="V206">
        <v>15.5</v>
      </c>
      <c r="W206">
        <v>0.72</v>
      </c>
      <c r="X206" t="s">
        <v>805</v>
      </c>
      <c r="Y206">
        <v>97.81</v>
      </c>
      <c r="Z206" t="s">
        <v>814</v>
      </c>
      <c r="AA206">
        <v>38.720289101712595</v>
      </c>
      <c r="AB206">
        <v>40.877271734800587</v>
      </c>
      <c r="AC206">
        <v>41.620380277561765</v>
      </c>
      <c r="AD206">
        <v>40.554485746658813</v>
      </c>
      <c r="AE206">
        <v>26.079971139804002</v>
      </c>
      <c r="AF206">
        <v>28.067006841571651</v>
      </c>
      <c r="AG206">
        <v>46.554514353178526</v>
      </c>
      <c r="AH206">
        <v>8.5437020322019741</v>
      </c>
      <c r="AI206">
        <v>0.44810997292812338</v>
      </c>
      <c r="AJ206">
        <v>0.44810997292812338</v>
      </c>
      <c r="AK206">
        <v>4.7935227696089197E-2</v>
      </c>
      <c r="AL206">
        <v>3.4054846887983334</v>
      </c>
    </row>
    <row r="207" spans="1:38">
      <c r="A207" t="s">
        <v>42</v>
      </c>
      <c r="B207" t="s">
        <v>97</v>
      </c>
      <c r="C207">
        <v>240826</v>
      </c>
      <c r="D207" t="s">
        <v>306</v>
      </c>
      <c r="E207" t="s">
        <v>637</v>
      </c>
      <c r="F207" t="s">
        <v>766</v>
      </c>
      <c r="G207">
        <v>1.5730000000000002</v>
      </c>
      <c r="H207">
        <v>43.9</v>
      </c>
      <c r="I207">
        <v>22.4</v>
      </c>
      <c r="J207">
        <v>31.1</v>
      </c>
      <c r="K207">
        <v>9.5</v>
      </c>
      <c r="L207">
        <v>45.9</v>
      </c>
      <c r="M207" t="s">
        <v>782</v>
      </c>
      <c r="N207" t="s">
        <v>788</v>
      </c>
      <c r="O207">
        <v>13</v>
      </c>
      <c r="P207">
        <v>177.2</v>
      </c>
      <c r="Q207">
        <v>179.5</v>
      </c>
      <c r="R207">
        <v>43.5</v>
      </c>
      <c r="S207">
        <v>158.19999999999999</v>
      </c>
      <c r="T207">
        <v>0</v>
      </c>
      <c r="U207" t="s">
        <v>796</v>
      </c>
      <c r="V207">
        <v>15.4</v>
      </c>
      <c r="W207">
        <v>-2.4</v>
      </c>
      <c r="X207" t="s">
        <v>807</v>
      </c>
      <c r="Y207">
        <v>89.28</v>
      </c>
      <c r="Z207" t="s">
        <v>812</v>
      </c>
      <c r="AA207">
        <v>36.058836428952524</v>
      </c>
      <c r="AB207">
        <v>35.87371049355059</v>
      </c>
      <c r="AC207">
        <v>39.412944274022877</v>
      </c>
      <c r="AD207">
        <v>38.814733554837261</v>
      </c>
      <c r="AE207">
        <v>22.925611967632221</v>
      </c>
      <c r="AF207">
        <v>22.56886239997943</v>
      </c>
      <c r="AG207">
        <v>41.890220802684638</v>
      </c>
      <c r="AH207">
        <v>5.4200653065558759</v>
      </c>
      <c r="AI207">
        <v>0.22959391761732623</v>
      </c>
      <c r="AJ207">
        <v>0.22959391761732623</v>
      </c>
      <c r="AK207">
        <v>2.6258592235004274E-2</v>
      </c>
      <c r="AL207">
        <v>2.1604158647145497</v>
      </c>
    </row>
    <row r="208" spans="1:38">
      <c r="A208" t="s">
        <v>43</v>
      </c>
      <c r="B208" t="s">
        <v>97</v>
      </c>
      <c r="C208">
        <v>240821</v>
      </c>
      <c r="D208" t="s">
        <v>307</v>
      </c>
      <c r="E208" t="s">
        <v>638</v>
      </c>
      <c r="F208" t="s">
        <v>766</v>
      </c>
      <c r="G208">
        <v>1.744</v>
      </c>
      <c r="H208">
        <v>61.6</v>
      </c>
      <c r="I208">
        <v>24.3</v>
      </c>
      <c r="J208">
        <v>35.1</v>
      </c>
      <c r="K208">
        <v>10.4</v>
      </c>
      <c r="L208">
        <v>50</v>
      </c>
      <c r="M208" t="s">
        <v>783</v>
      </c>
      <c r="N208" t="s">
        <v>787</v>
      </c>
      <c r="O208">
        <v>16.48</v>
      </c>
      <c r="P208">
        <v>179.7</v>
      </c>
      <c r="Q208">
        <v>179.7</v>
      </c>
      <c r="R208">
        <v>62.4</v>
      </c>
      <c r="S208">
        <v>176.8</v>
      </c>
      <c r="T208">
        <v>0</v>
      </c>
      <c r="U208" t="s">
        <v>796</v>
      </c>
      <c r="V208">
        <v>15.5</v>
      </c>
      <c r="W208">
        <v>0.99</v>
      </c>
      <c r="X208" t="s">
        <v>805</v>
      </c>
      <c r="Y208">
        <v>98.39</v>
      </c>
      <c r="Z208" t="s">
        <v>814</v>
      </c>
      <c r="AA208">
        <v>39.04074433970829</v>
      </c>
      <c r="AB208">
        <v>38.886960635308952</v>
      </c>
      <c r="AC208">
        <v>43.847154844433462</v>
      </c>
      <c r="AD208">
        <v>43.666504263789164</v>
      </c>
      <c r="AE208">
        <v>26.510968663131074</v>
      </c>
      <c r="AF208">
        <v>25.763462870591905</v>
      </c>
      <c r="AG208">
        <v>45.797002958025736</v>
      </c>
      <c r="AH208">
        <v>7.6053763754861494</v>
      </c>
      <c r="AI208">
        <v>0.41790128641735103</v>
      </c>
      <c r="AJ208">
        <v>0.41790128641735103</v>
      </c>
      <c r="AK208">
        <v>3.2516116640509324E-2</v>
      </c>
      <c r="AL208">
        <v>3.031471919508343</v>
      </c>
    </row>
    <row r="209" spans="1:38">
      <c r="A209" t="s">
        <v>44</v>
      </c>
      <c r="B209" t="s">
        <v>97</v>
      </c>
      <c r="C209">
        <v>240821</v>
      </c>
      <c r="D209" t="s">
        <v>308</v>
      </c>
      <c r="E209" t="s">
        <v>639</v>
      </c>
      <c r="F209" t="s">
        <v>766</v>
      </c>
      <c r="G209">
        <v>1.7790000000000001</v>
      </c>
      <c r="H209">
        <v>68</v>
      </c>
      <c r="I209">
        <v>23.3</v>
      </c>
      <c r="J209">
        <v>35.799999999999997</v>
      </c>
      <c r="K209">
        <v>10.5</v>
      </c>
      <c r="L209">
        <v>53.4</v>
      </c>
      <c r="M209" t="s">
        <v>783</v>
      </c>
      <c r="N209" t="s">
        <v>787</v>
      </c>
      <c r="O209">
        <v>16.66</v>
      </c>
      <c r="P209">
        <v>180.7</v>
      </c>
      <c r="Q209">
        <v>181.2</v>
      </c>
      <c r="R209">
        <v>68</v>
      </c>
      <c r="T209">
        <v>0</v>
      </c>
      <c r="U209" t="s">
        <v>796</v>
      </c>
      <c r="V209">
        <v>15.6</v>
      </c>
      <c r="W209">
        <v>1.1000000000000001</v>
      </c>
      <c r="X209" t="s">
        <v>806</v>
      </c>
      <c r="Y209">
        <v>99</v>
      </c>
      <c r="Z209" t="s">
        <v>814</v>
      </c>
      <c r="AA209">
        <v>39.213905580330234</v>
      </c>
      <c r="AB209">
        <v>39.799116471250109</v>
      </c>
      <c r="AC209">
        <v>40.122695041089401</v>
      </c>
      <c r="AD209">
        <v>41.665957124653104</v>
      </c>
      <c r="AE209">
        <v>28.526523354884553</v>
      </c>
      <c r="AF209">
        <v>28.260880017961661</v>
      </c>
      <c r="AG209">
        <v>48.66122383960807</v>
      </c>
      <c r="AH209">
        <v>8.3955453495626315</v>
      </c>
      <c r="AI209">
        <v>0.45788790532112689</v>
      </c>
      <c r="AJ209">
        <v>0.45788790532112689</v>
      </c>
      <c r="AK209">
        <v>3.9886330441162299E-2</v>
      </c>
      <c r="AL209">
        <v>3.3464300410157031</v>
      </c>
    </row>
    <row r="210" spans="1:38">
      <c r="A210" t="s">
        <v>45</v>
      </c>
      <c r="B210" t="s">
        <v>98</v>
      </c>
      <c r="C210">
        <v>240829</v>
      </c>
      <c r="D210" t="s">
        <v>309</v>
      </c>
      <c r="E210" t="s">
        <v>640</v>
      </c>
      <c r="F210" t="s">
        <v>766</v>
      </c>
      <c r="G210">
        <v>1.9350000000000001</v>
      </c>
      <c r="H210">
        <v>76.8</v>
      </c>
      <c r="I210">
        <v>26.2</v>
      </c>
      <c r="J210">
        <v>36.9</v>
      </c>
      <c r="K210">
        <v>10.9</v>
      </c>
      <c r="L210">
        <v>57.2</v>
      </c>
      <c r="M210" t="s">
        <v>776</v>
      </c>
      <c r="N210" t="s">
        <v>787</v>
      </c>
      <c r="O210">
        <v>17.670000000000002</v>
      </c>
      <c r="P210">
        <v>194</v>
      </c>
      <c r="Q210">
        <v>0</v>
      </c>
      <c r="R210">
        <v>76.7</v>
      </c>
      <c r="S210">
        <v>194.3</v>
      </c>
      <c r="T210">
        <v>0</v>
      </c>
      <c r="U210" t="s">
        <v>796</v>
      </c>
      <c r="V210">
        <v>16.600000000000001</v>
      </c>
      <c r="W210">
        <v>1.07</v>
      </c>
      <c r="X210" t="s">
        <v>806</v>
      </c>
      <c r="Y210">
        <v>100.15</v>
      </c>
      <c r="Z210" t="s">
        <v>814</v>
      </c>
      <c r="AA210">
        <v>44.765429914869301</v>
      </c>
      <c r="AB210">
        <v>43.659290922735309</v>
      </c>
      <c r="AC210">
        <v>49.162289470146753</v>
      </c>
      <c r="AD210">
        <v>48.791273433429531</v>
      </c>
      <c r="AE210">
        <v>28.291432135006296</v>
      </c>
      <c r="AF210">
        <v>29.254146639479824</v>
      </c>
      <c r="AG210">
        <v>50.558317282865211</v>
      </c>
      <c r="AH210">
        <v>9.4820276889177961</v>
      </c>
      <c r="AI210">
        <v>0.61101637115672669</v>
      </c>
      <c r="AJ210">
        <v>0.61101637115672669</v>
      </c>
      <c r="AK210">
        <v>4.5987302957657128E-2</v>
      </c>
      <c r="AL210">
        <v>3.7794974580883238</v>
      </c>
    </row>
    <row r="211" spans="1:38">
      <c r="A211" t="s">
        <v>46</v>
      </c>
      <c r="B211" t="s">
        <v>98</v>
      </c>
      <c r="C211">
        <v>240828</v>
      </c>
      <c r="D211" t="s">
        <v>310</v>
      </c>
      <c r="E211" t="s">
        <v>641</v>
      </c>
      <c r="F211" t="s">
        <v>766</v>
      </c>
      <c r="G211">
        <v>1.7909999999999999</v>
      </c>
      <c r="H211">
        <v>68.400000000000006</v>
      </c>
      <c r="I211">
        <v>26.6</v>
      </c>
      <c r="J211">
        <v>35</v>
      </c>
      <c r="K211">
        <v>9.1</v>
      </c>
      <c r="L211">
        <v>53</v>
      </c>
      <c r="M211" t="s">
        <v>781</v>
      </c>
      <c r="N211" t="s">
        <v>787</v>
      </c>
      <c r="O211">
        <v>16.399999999999999</v>
      </c>
      <c r="P211">
        <v>183</v>
      </c>
      <c r="Q211">
        <v>182.4</v>
      </c>
      <c r="R211">
        <v>69</v>
      </c>
      <c r="S211">
        <v>179.7</v>
      </c>
      <c r="T211">
        <v>0</v>
      </c>
      <c r="U211" t="s">
        <v>797</v>
      </c>
      <c r="V211">
        <v>16.3</v>
      </c>
      <c r="W211">
        <v>0.13</v>
      </c>
      <c r="X211" t="s">
        <v>805</v>
      </c>
      <c r="Y211">
        <v>98.2</v>
      </c>
      <c r="Z211" t="s">
        <v>814</v>
      </c>
      <c r="AA211">
        <v>42.378231855318504</v>
      </c>
      <c r="AB211">
        <v>40.635631419841388</v>
      </c>
      <c r="AC211">
        <v>42.054297451660481</v>
      </c>
      <c r="AD211">
        <v>41.25485069153563</v>
      </c>
      <c r="AE211">
        <v>26.235994045664455</v>
      </c>
      <c r="AF211">
        <v>25.910328496005896</v>
      </c>
      <c r="AG211">
        <v>47.526314840085206</v>
      </c>
      <c r="AH211">
        <v>8.4449309104424124</v>
      </c>
      <c r="AI211">
        <v>0.45063876328123276</v>
      </c>
      <c r="AJ211">
        <v>0.45063876328123276</v>
      </c>
      <c r="AK211">
        <v>3.4123392743977937E-2</v>
      </c>
      <c r="AL211">
        <v>3.3661149236099135</v>
      </c>
    </row>
    <row r="212" spans="1:38">
      <c r="A212" t="s">
        <v>48</v>
      </c>
      <c r="B212" t="s">
        <v>98</v>
      </c>
      <c r="C212">
        <v>240828</v>
      </c>
      <c r="D212" t="s">
        <v>311</v>
      </c>
      <c r="E212" t="s">
        <v>642</v>
      </c>
      <c r="F212" t="s">
        <v>766</v>
      </c>
      <c r="G212">
        <v>1.66</v>
      </c>
      <c r="H212">
        <v>55</v>
      </c>
      <c r="I212">
        <v>23.1</v>
      </c>
      <c r="J212">
        <v>32.9</v>
      </c>
      <c r="K212">
        <v>9.1999999999999993</v>
      </c>
      <c r="L212">
        <v>48.5</v>
      </c>
      <c r="M212" t="s">
        <v>783</v>
      </c>
      <c r="N212" t="s">
        <v>788</v>
      </c>
      <c r="O212">
        <v>15.62</v>
      </c>
      <c r="P212">
        <v>174</v>
      </c>
      <c r="Q212">
        <v>171.1</v>
      </c>
      <c r="R212">
        <v>56.2</v>
      </c>
      <c r="S212">
        <v>166.5</v>
      </c>
      <c r="T212">
        <v>0</v>
      </c>
      <c r="U212" t="s">
        <v>796</v>
      </c>
      <c r="V212">
        <v>16.5</v>
      </c>
      <c r="W212">
        <v>-0.85</v>
      </c>
      <c r="X212" t="s">
        <v>805</v>
      </c>
      <c r="Y212">
        <v>95.69</v>
      </c>
      <c r="Z212" t="s">
        <v>813</v>
      </c>
      <c r="AA212">
        <v>36.213692989772881</v>
      </c>
      <c r="AB212">
        <v>37.477003971446138</v>
      </c>
      <c r="AC212">
        <v>38.104422920548608</v>
      </c>
      <c r="AD212">
        <v>38.982258950377982</v>
      </c>
      <c r="AE212">
        <v>25.363333490678951</v>
      </c>
      <c r="AF212">
        <v>23.825851056695036</v>
      </c>
      <c r="AG212">
        <v>44.942109169046837</v>
      </c>
      <c r="AH212">
        <v>6.790514620969776</v>
      </c>
      <c r="AI212">
        <v>0.32415059355557929</v>
      </c>
      <c r="AJ212">
        <v>0.32415059355557929</v>
      </c>
      <c r="AK212">
        <v>2.8315471691939795E-2</v>
      </c>
      <c r="AL212">
        <v>2.7066713567038776</v>
      </c>
    </row>
    <row r="213" spans="1:38">
      <c r="A213" t="s">
        <v>50</v>
      </c>
      <c r="B213" t="s">
        <v>98</v>
      </c>
      <c r="C213">
        <v>240828</v>
      </c>
      <c r="D213" t="s">
        <v>312</v>
      </c>
      <c r="E213" t="s">
        <v>643</v>
      </c>
      <c r="F213" t="s">
        <v>766</v>
      </c>
      <c r="G213">
        <v>1.7649999999999999</v>
      </c>
      <c r="H213">
        <v>68.5</v>
      </c>
      <c r="I213">
        <v>26.8</v>
      </c>
      <c r="J213">
        <v>37.200000000000003</v>
      </c>
      <c r="K213">
        <v>9.6999999999999993</v>
      </c>
      <c r="L213">
        <v>54.2</v>
      </c>
      <c r="M213" t="s">
        <v>784</v>
      </c>
      <c r="N213" t="s">
        <v>787</v>
      </c>
      <c r="O213">
        <v>16.75</v>
      </c>
      <c r="P213">
        <v>179.4</v>
      </c>
      <c r="Q213">
        <v>178</v>
      </c>
      <c r="R213">
        <v>68.2</v>
      </c>
      <c r="S213">
        <v>176.2</v>
      </c>
      <c r="T213">
        <v>0</v>
      </c>
      <c r="U213" t="s">
        <v>796</v>
      </c>
      <c r="V213">
        <v>16.600000000000001</v>
      </c>
      <c r="W213">
        <v>0.2</v>
      </c>
      <c r="X213" t="s">
        <v>805</v>
      </c>
      <c r="Y213">
        <v>98.22</v>
      </c>
      <c r="Z213" t="s">
        <v>814</v>
      </c>
      <c r="AA213">
        <v>41.442705434888467</v>
      </c>
      <c r="AB213">
        <v>40.014745050632392</v>
      </c>
      <c r="AC213">
        <v>41.829993916930945</v>
      </c>
      <c r="AD213">
        <v>43.102843738812908</v>
      </c>
      <c r="AE213">
        <v>25.627276826796127</v>
      </c>
      <c r="AF213">
        <v>24.964307678170066</v>
      </c>
      <c r="AG213">
        <v>47.180204862134325</v>
      </c>
      <c r="AH213">
        <v>8.4572773006623567</v>
      </c>
      <c r="AI213">
        <v>0.42679681473727099</v>
      </c>
      <c r="AJ213">
        <v>0.42679681473727099</v>
      </c>
      <c r="AK213">
        <v>4.3516116475879447E-2</v>
      </c>
      <c r="AL213">
        <v>3.3710361442584658</v>
      </c>
    </row>
    <row r="214" spans="1:38">
      <c r="A214" t="s">
        <v>51</v>
      </c>
      <c r="B214" t="s">
        <v>98</v>
      </c>
      <c r="C214">
        <v>240829</v>
      </c>
      <c r="D214" t="s">
        <v>313</v>
      </c>
      <c r="E214" t="s">
        <v>644</v>
      </c>
      <c r="F214" t="s">
        <v>766</v>
      </c>
      <c r="G214">
        <v>1.825</v>
      </c>
      <c r="H214">
        <v>74</v>
      </c>
      <c r="I214">
        <v>25.6</v>
      </c>
      <c r="J214">
        <v>36.4</v>
      </c>
      <c r="K214">
        <v>10.5</v>
      </c>
      <c r="L214">
        <v>52.2</v>
      </c>
      <c r="M214" t="s">
        <v>780</v>
      </c>
      <c r="N214" t="s">
        <v>787</v>
      </c>
      <c r="O214">
        <v>16.79</v>
      </c>
      <c r="P214">
        <v>182.8</v>
      </c>
      <c r="Q214">
        <v>183</v>
      </c>
      <c r="R214">
        <v>72.900000000000006</v>
      </c>
      <c r="S214">
        <v>181</v>
      </c>
      <c r="T214">
        <v>0</v>
      </c>
      <c r="U214" t="s">
        <v>797</v>
      </c>
      <c r="V214">
        <v>16.3</v>
      </c>
      <c r="W214">
        <v>0.5</v>
      </c>
      <c r="X214" t="s">
        <v>805</v>
      </c>
      <c r="Y214">
        <v>99.02</v>
      </c>
      <c r="Z214" t="s">
        <v>814</v>
      </c>
      <c r="AA214">
        <v>42.096407550690571</v>
      </c>
      <c r="AB214">
        <v>40.791583470325158</v>
      </c>
      <c r="AC214">
        <v>44.122297873671712</v>
      </c>
      <c r="AD214">
        <v>43.982586842580098</v>
      </c>
      <c r="AE214">
        <v>27.403665819807465</v>
      </c>
      <c r="AF214">
        <v>25.687491411145423</v>
      </c>
      <c r="AG214">
        <v>47.106038639249114</v>
      </c>
      <c r="AH214">
        <v>9.1363287627593355</v>
      </c>
      <c r="AI214">
        <v>0.51756764735199501</v>
      </c>
      <c r="AJ214">
        <v>0.51756764735199501</v>
      </c>
      <c r="AK214">
        <v>4.4132615148405344E-2</v>
      </c>
      <c r="AL214">
        <v>3.6417032799288536</v>
      </c>
    </row>
    <row r="215" spans="1:38">
      <c r="A215" t="s">
        <v>53</v>
      </c>
      <c r="B215" t="s">
        <v>97</v>
      </c>
      <c r="C215">
        <v>240821</v>
      </c>
      <c r="D215" t="s">
        <v>314</v>
      </c>
      <c r="E215" t="s">
        <v>645</v>
      </c>
      <c r="F215" t="s">
        <v>766</v>
      </c>
      <c r="G215">
        <v>1.76</v>
      </c>
      <c r="H215">
        <v>72.099999999999994</v>
      </c>
      <c r="I215">
        <v>25</v>
      </c>
      <c r="J215">
        <v>38.4</v>
      </c>
      <c r="K215">
        <v>55.5</v>
      </c>
      <c r="L215">
        <v>10.3</v>
      </c>
      <c r="M215" t="s">
        <v>781</v>
      </c>
      <c r="N215" t="s">
        <v>788</v>
      </c>
      <c r="O215">
        <v>15.92</v>
      </c>
      <c r="P215">
        <v>181.2</v>
      </c>
      <c r="Q215">
        <v>179.2</v>
      </c>
      <c r="R215">
        <v>73.5</v>
      </c>
      <c r="S215">
        <v>176.3</v>
      </c>
      <c r="T215">
        <v>0</v>
      </c>
      <c r="U215" t="s">
        <v>796</v>
      </c>
      <c r="V215">
        <v>15.3</v>
      </c>
      <c r="W215">
        <v>0.57999999999999996</v>
      </c>
      <c r="X215" t="s">
        <v>805</v>
      </c>
      <c r="Y215">
        <v>97.3</v>
      </c>
      <c r="Z215" t="s">
        <v>814</v>
      </c>
      <c r="AA215">
        <v>39.22151531968818</v>
      </c>
      <c r="AB215">
        <v>38.960545457661993</v>
      </c>
      <c r="AC215">
        <v>41.98620350968487</v>
      </c>
      <c r="AD215">
        <v>40.90025251031004</v>
      </c>
      <c r="AE215">
        <v>25.7165702858094</v>
      </c>
      <c r="AF215">
        <v>26.248231058819744</v>
      </c>
      <c r="AG215">
        <v>46.868230411141347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 t="s">
        <v>55</v>
      </c>
      <c r="B216" t="s">
        <v>96</v>
      </c>
      <c r="C216">
        <v>240827</v>
      </c>
      <c r="D216" t="s">
        <v>315</v>
      </c>
      <c r="E216" t="s">
        <v>646</v>
      </c>
      <c r="F216" t="s">
        <v>766</v>
      </c>
      <c r="G216">
        <v>1.73</v>
      </c>
      <c r="H216">
        <v>58.9</v>
      </c>
      <c r="I216">
        <v>25.3</v>
      </c>
      <c r="J216">
        <v>33.6</v>
      </c>
      <c r="K216">
        <v>9</v>
      </c>
      <c r="L216">
        <v>49.9</v>
      </c>
      <c r="M216" t="s">
        <v>777</v>
      </c>
      <c r="N216" t="s">
        <v>788</v>
      </c>
      <c r="O216">
        <v>15.46</v>
      </c>
      <c r="P216">
        <v>183</v>
      </c>
      <c r="Q216">
        <v>180.2</v>
      </c>
      <c r="R216">
        <v>57.7</v>
      </c>
      <c r="S216">
        <v>174.6</v>
      </c>
      <c r="T216">
        <v>0</v>
      </c>
      <c r="U216" t="s">
        <v>796</v>
      </c>
      <c r="V216">
        <v>14.4</v>
      </c>
      <c r="W216">
        <v>1.0900000000000001</v>
      </c>
      <c r="X216" t="s">
        <v>806</v>
      </c>
      <c r="Y216">
        <v>95.41</v>
      </c>
      <c r="Z216" t="s">
        <v>813</v>
      </c>
      <c r="AA216">
        <v>39.068057990784403</v>
      </c>
      <c r="AB216">
        <v>40.216607577858937</v>
      </c>
      <c r="AC216">
        <v>44.260774090070115</v>
      </c>
      <c r="AD216">
        <v>43.958980214803923</v>
      </c>
      <c r="AE216">
        <v>25.89087060636253</v>
      </c>
      <c r="AF216">
        <v>26.125587511326746</v>
      </c>
      <c r="AG216">
        <v>43.655196037527944</v>
      </c>
      <c r="AH216">
        <v>7.2720238395476331</v>
      </c>
      <c r="AI216">
        <v>0.36265201997560059</v>
      </c>
      <c r="AJ216">
        <v>0.36265201997560059</v>
      </c>
      <c r="AK216">
        <v>3.4554431295049537E-2</v>
      </c>
      <c r="AL216">
        <v>2.8985989619974255</v>
      </c>
    </row>
    <row r="217" spans="1:38">
      <c r="A217" t="s">
        <v>57</v>
      </c>
      <c r="B217" t="s">
        <v>96</v>
      </c>
      <c r="C217">
        <v>240827</v>
      </c>
      <c r="D217" t="s">
        <v>316</v>
      </c>
      <c r="E217" t="s">
        <v>647</v>
      </c>
      <c r="F217" t="s">
        <v>766</v>
      </c>
      <c r="G217">
        <v>1.7380000000000002</v>
      </c>
      <c r="H217">
        <v>74.400000000000006</v>
      </c>
      <c r="I217">
        <v>28.1</v>
      </c>
      <c r="J217">
        <v>35.200000000000003</v>
      </c>
      <c r="K217">
        <v>10.7</v>
      </c>
      <c r="L217">
        <v>54.9</v>
      </c>
      <c r="M217" t="s">
        <v>780</v>
      </c>
      <c r="N217" t="s">
        <v>788</v>
      </c>
      <c r="O217">
        <v>16.579999999999998</v>
      </c>
      <c r="P217">
        <v>180.7</v>
      </c>
      <c r="Q217">
        <v>180.7</v>
      </c>
      <c r="R217">
        <v>72.5</v>
      </c>
      <c r="S217">
        <v>177.5</v>
      </c>
      <c r="T217">
        <v>0</v>
      </c>
      <c r="U217" t="s">
        <v>796</v>
      </c>
      <c r="V217">
        <v>14.5</v>
      </c>
      <c r="W217">
        <v>2.1</v>
      </c>
      <c r="X217" t="s">
        <v>804</v>
      </c>
      <c r="Y217">
        <v>98.23</v>
      </c>
      <c r="Z217" t="s">
        <v>814</v>
      </c>
      <c r="AA217">
        <v>35.070263867794843</v>
      </c>
      <c r="AB217">
        <v>38.442402346466849</v>
      </c>
      <c r="AC217">
        <v>44.518455786703427</v>
      </c>
      <c r="AD217">
        <v>42.974136272609755</v>
      </c>
      <c r="AE217">
        <v>26.914939948402214</v>
      </c>
      <c r="AF217">
        <v>27.36786854935702</v>
      </c>
      <c r="AG217">
        <v>48.338465842830217</v>
      </c>
      <c r="AH217">
        <v>9.1857143236391163</v>
      </c>
      <c r="AI217">
        <v>0.45431797830608212</v>
      </c>
      <c r="AJ217">
        <v>0.45431797830608212</v>
      </c>
      <c r="AK217">
        <v>4.9431162301077559E-2</v>
      </c>
      <c r="AL217">
        <v>3.661388162523064</v>
      </c>
    </row>
    <row r="218" spans="1:38">
      <c r="A218" t="s">
        <v>58</v>
      </c>
      <c r="B218" t="s">
        <v>95</v>
      </c>
      <c r="C218">
        <v>240822</v>
      </c>
      <c r="D218" t="s">
        <v>317</v>
      </c>
      <c r="E218" t="s">
        <v>648</v>
      </c>
      <c r="F218" t="s">
        <v>766</v>
      </c>
      <c r="G218">
        <v>1.643</v>
      </c>
      <c r="H218">
        <v>46.8</v>
      </c>
      <c r="I218">
        <v>23.5</v>
      </c>
      <c r="J218">
        <v>32.5</v>
      </c>
      <c r="K218">
        <v>9.4</v>
      </c>
      <c r="L218">
        <v>46.8</v>
      </c>
      <c r="M218" t="s">
        <v>779</v>
      </c>
      <c r="N218" t="s">
        <v>787</v>
      </c>
      <c r="O218">
        <v>13.97</v>
      </c>
      <c r="P218">
        <v>183</v>
      </c>
      <c r="Q218">
        <v>178</v>
      </c>
      <c r="R218">
        <v>47</v>
      </c>
      <c r="S218">
        <v>165.2</v>
      </c>
      <c r="T218">
        <v>0</v>
      </c>
      <c r="U218" t="s">
        <v>796</v>
      </c>
      <c r="V218">
        <v>13.4</v>
      </c>
      <c r="W218">
        <v>0.56000000000000005</v>
      </c>
      <c r="X218" t="s">
        <v>805</v>
      </c>
      <c r="Y218">
        <v>90.27</v>
      </c>
      <c r="Z218" t="s">
        <v>812</v>
      </c>
      <c r="AA218">
        <v>38.567899952454738</v>
      </c>
      <c r="AB218">
        <v>36.342679067774071</v>
      </c>
      <c r="AC218">
        <v>41.143831088061688</v>
      </c>
      <c r="AD218">
        <v>41.355502590836117</v>
      </c>
      <c r="AE218">
        <v>26.606514005045007</v>
      </c>
      <c r="AF218">
        <v>26.976839320624965</v>
      </c>
      <c r="AG218">
        <v>40.051362732737054</v>
      </c>
      <c r="AH218">
        <v>5.7781106229342827</v>
      </c>
      <c r="AI218">
        <v>0.25466612348740841</v>
      </c>
      <c r="AJ218">
        <v>0.25466612348740841</v>
      </c>
      <c r="AK218">
        <v>2.598341106258735E-2</v>
      </c>
      <c r="AL218">
        <v>2.3031312635225722</v>
      </c>
    </row>
    <row r="219" spans="1:38">
      <c r="A219" t="s">
        <v>60</v>
      </c>
      <c r="B219" t="s">
        <v>95</v>
      </c>
      <c r="C219">
        <v>240823</v>
      </c>
      <c r="D219" t="s">
        <v>318</v>
      </c>
      <c r="E219" t="s">
        <v>649</v>
      </c>
      <c r="F219" t="s">
        <v>766</v>
      </c>
      <c r="G219">
        <v>1.5940000000000001</v>
      </c>
      <c r="H219">
        <v>44.1</v>
      </c>
      <c r="I219">
        <v>23.5</v>
      </c>
      <c r="J219">
        <v>30.5</v>
      </c>
      <c r="K219">
        <v>9.5</v>
      </c>
      <c r="L219">
        <v>42</v>
      </c>
      <c r="M219" t="s">
        <v>783</v>
      </c>
      <c r="N219" t="s">
        <v>787</v>
      </c>
      <c r="O219">
        <v>13.4</v>
      </c>
      <c r="P219">
        <v>180.8</v>
      </c>
      <c r="Q219">
        <v>177.4</v>
      </c>
      <c r="R219">
        <v>44.6</v>
      </c>
      <c r="S219">
        <v>160.4</v>
      </c>
      <c r="T219">
        <v>0</v>
      </c>
      <c r="U219" t="s">
        <v>796</v>
      </c>
      <c r="V219">
        <v>13.5</v>
      </c>
      <c r="W219">
        <v>-0.13</v>
      </c>
      <c r="X219" t="s">
        <v>805</v>
      </c>
      <c r="Y219">
        <v>88.72</v>
      </c>
      <c r="Z219" t="s">
        <v>811</v>
      </c>
      <c r="AA219">
        <v>36.237031137363822</v>
      </c>
      <c r="AB219">
        <v>35.839361487326279</v>
      </c>
      <c r="AC219">
        <v>38.055119590275339</v>
      </c>
      <c r="AD219">
        <v>37.633277667949095</v>
      </c>
      <c r="AE219">
        <v>24.896701186117028</v>
      </c>
      <c r="AF219">
        <v>24.225940671732324</v>
      </c>
      <c r="AG219">
        <v>39.023533810080046</v>
      </c>
      <c r="AH219">
        <v>5.4447580869957664</v>
      </c>
      <c r="AI219">
        <v>0.24016890261837182</v>
      </c>
      <c r="AJ219">
        <v>0.24016890261837182</v>
      </c>
      <c r="AK219">
        <v>2.5732611649995015E-2</v>
      </c>
      <c r="AL219">
        <v>2.1702583060116547</v>
      </c>
    </row>
    <row r="220" spans="1:38">
      <c r="A220" t="s">
        <v>61</v>
      </c>
      <c r="B220" t="s">
        <v>95</v>
      </c>
      <c r="C220">
        <v>240823</v>
      </c>
      <c r="D220" t="s">
        <v>319</v>
      </c>
      <c r="E220" t="s">
        <v>650</v>
      </c>
      <c r="F220" t="s">
        <v>766</v>
      </c>
      <c r="G220">
        <v>1.651</v>
      </c>
      <c r="H220">
        <v>62</v>
      </c>
      <c r="I220">
        <v>22.5</v>
      </c>
      <c r="J220">
        <v>34.799999999999997</v>
      </c>
      <c r="K220">
        <v>9.5</v>
      </c>
      <c r="L220">
        <v>53.9</v>
      </c>
      <c r="M220" t="s">
        <v>779</v>
      </c>
      <c r="N220" t="s">
        <v>788</v>
      </c>
      <c r="O220">
        <v>14.11</v>
      </c>
      <c r="P220">
        <v>184.7</v>
      </c>
      <c r="Q220">
        <v>180.2</v>
      </c>
      <c r="R220">
        <v>61.7</v>
      </c>
      <c r="S220">
        <v>167.2</v>
      </c>
      <c r="T220">
        <v>0</v>
      </c>
      <c r="U220" t="s">
        <v>796</v>
      </c>
      <c r="V220">
        <v>13.5</v>
      </c>
      <c r="W220">
        <v>0.61</v>
      </c>
      <c r="X220" t="s">
        <v>805</v>
      </c>
      <c r="Y220">
        <v>90.53</v>
      </c>
      <c r="Z220" t="s">
        <v>812</v>
      </c>
      <c r="AA220">
        <v>36.750090263613217</v>
      </c>
      <c r="AB220">
        <v>35.430708062570218</v>
      </c>
      <c r="AC220">
        <v>37.386843307469746</v>
      </c>
      <c r="AD220">
        <v>38.998023400786501</v>
      </c>
      <c r="AE220">
        <v>24.623186150937951</v>
      </c>
      <c r="AF220">
        <v>24.885387813076928</v>
      </c>
      <c r="AG220">
        <v>48.67343672359609</v>
      </c>
      <c r="AH220">
        <v>7.6547619363659303</v>
      </c>
      <c r="AI220">
        <v>0.3405572851204281</v>
      </c>
      <c r="AJ220">
        <v>0.3405572851204281</v>
      </c>
      <c r="AK220">
        <v>3.4811031351905004E-2</v>
      </c>
      <c r="AL220">
        <v>3.051156802102553</v>
      </c>
    </row>
    <row r="221" spans="1:38">
      <c r="A221" t="s">
        <v>64</v>
      </c>
      <c r="B221" t="s">
        <v>98</v>
      </c>
      <c r="C221">
        <v>240829</v>
      </c>
      <c r="D221" t="s">
        <v>320</v>
      </c>
      <c r="E221" t="s">
        <v>651</v>
      </c>
      <c r="F221" t="s">
        <v>766</v>
      </c>
      <c r="G221">
        <v>1.6740000000000002</v>
      </c>
      <c r="H221">
        <v>56.2</v>
      </c>
      <c r="I221">
        <v>25.3</v>
      </c>
      <c r="J221">
        <v>33.700000000000003</v>
      </c>
      <c r="K221">
        <v>9.5</v>
      </c>
      <c r="L221">
        <v>48.5</v>
      </c>
      <c r="M221" t="s">
        <v>782</v>
      </c>
      <c r="N221" t="s">
        <v>787</v>
      </c>
      <c r="O221">
        <v>14.99</v>
      </c>
      <c r="P221">
        <v>176.5</v>
      </c>
      <c r="Q221">
        <v>0</v>
      </c>
      <c r="R221">
        <v>55.7</v>
      </c>
      <c r="S221">
        <v>167.8</v>
      </c>
      <c r="T221">
        <v>0</v>
      </c>
      <c r="U221" t="s">
        <v>796</v>
      </c>
      <c r="V221">
        <v>16.5</v>
      </c>
      <c r="W221">
        <v>-1.5</v>
      </c>
      <c r="X221" t="s">
        <v>808</v>
      </c>
      <c r="Y221">
        <v>95.07</v>
      </c>
      <c r="Z221" t="s">
        <v>813</v>
      </c>
      <c r="AA221">
        <v>36.333097133859013</v>
      </c>
      <c r="AB221">
        <v>34.466329778796315</v>
      </c>
      <c r="AC221">
        <v>40.226279870957633</v>
      </c>
      <c r="AD221">
        <v>43.00181331809496</v>
      </c>
      <c r="AE221">
        <v>27.106307543681321</v>
      </c>
      <c r="AF221">
        <v>26.708718686114242</v>
      </c>
      <c r="AG221">
        <v>43.798026597932321</v>
      </c>
      <c r="AH221">
        <v>6.9386713036091168</v>
      </c>
      <c r="AI221">
        <v>0.29599226713511984</v>
      </c>
      <c r="AJ221">
        <v>0.29599226713511984</v>
      </c>
      <c r="AK221">
        <v>3.1149488440400927E-2</v>
      </c>
      <c r="AL221">
        <v>2.7657260044865075</v>
      </c>
    </row>
    <row r="222" spans="1:38">
      <c r="A222" t="s">
        <v>68</v>
      </c>
      <c r="B222" t="s">
        <v>98</v>
      </c>
      <c r="C222">
        <v>240828</v>
      </c>
      <c r="D222" t="s">
        <v>321</v>
      </c>
      <c r="E222" t="s">
        <v>652</v>
      </c>
      <c r="F222" t="s">
        <v>766</v>
      </c>
      <c r="G222">
        <v>1.837</v>
      </c>
      <c r="H222">
        <v>74.400000000000006</v>
      </c>
      <c r="I222">
        <v>26.5</v>
      </c>
      <c r="J222">
        <v>35.9</v>
      </c>
      <c r="K222">
        <v>10.4</v>
      </c>
      <c r="L222">
        <v>56.5</v>
      </c>
      <c r="M222" t="s">
        <v>777</v>
      </c>
      <c r="N222" t="s">
        <v>788</v>
      </c>
      <c r="O222">
        <v>17.559999999999999</v>
      </c>
      <c r="P222">
        <v>186</v>
      </c>
      <c r="Q222">
        <v>0</v>
      </c>
      <c r="R222">
        <v>74.099999999999994</v>
      </c>
      <c r="S222">
        <v>185.5</v>
      </c>
      <c r="T222">
        <v>0</v>
      </c>
      <c r="U222" t="s">
        <v>799</v>
      </c>
      <c r="V222">
        <v>15.7</v>
      </c>
      <c r="W222">
        <v>1.89</v>
      </c>
      <c r="X222" t="s">
        <v>806</v>
      </c>
      <c r="Y222">
        <v>99.73</v>
      </c>
      <c r="Z222" t="s">
        <v>814</v>
      </c>
      <c r="AA222">
        <v>42.075306687747641</v>
      </c>
      <c r="AB222">
        <v>39.655421579610497</v>
      </c>
      <c r="AC222">
        <v>46.977478586113996</v>
      </c>
      <c r="AD222">
        <v>47.197579222319547</v>
      </c>
      <c r="AE222">
        <v>27.322159988063067</v>
      </c>
      <c r="AF222">
        <v>27.039599301388979</v>
      </c>
      <c r="AG222">
        <v>47.537244501120774</v>
      </c>
      <c r="AH222">
        <v>9.1857143236391163</v>
      </c>
      <c r="AI222">
        <v>0.52779814696758498</v>
      </c>
      <c r="AJ222">
        <v>0.52779814696758498</v>
      </c>
      <c r="AK222">
        <v>5.1432857876204281E-2</v>
      </c>
      <c r="AL222">
        <v>3.661388162523064</v>
      </c>
    </row>
    <row r="223" spans="1:38">
      <c r="A223" t="s">
        <v>65</v>
      </c>
      <c r="B223" t="s">
        <v>98</v>
      </c>
      <c r="C223">
        <v>240829</v>
      </c>
      <c r="D223" t="s">
        <v>322</v>
      </c>
      <c r="E223" t="s">
        <v>653</v>
      </c>
      <c r="F223" t="s">
        <v>766</v>
      </c>
      <c r="G223">
        <v>1.913</v>
      </c>
      <c r="H223">
        <v>89.6</v>
      </c>
      <c r="I223">
        <v>25.8</v>
      </c>
      <c r="J223">
        <v>39.6</v>
      </c>
      <c r="K223">
        <v>10.6</v>
      </c>
      <c r="L223">
        <v>59.9</v>
      </c>
      <c r="M223" t="s">
        <v>783</v>
      </c>
      <c r="N223" t="s">
        <v>788</v>
      </c>
      <c r="O223">
        <v>17.43</v>
      </c>
      <c r="P223">
        <v>193</v>
      </c>
      <c r="Q223">
        <v>0</v>
      </c>
      <c r="R223">
        <v>89</v>
      </c>
      <c r="S223">
        <v>193.2</v>
      </c>
      <c r="T223">
        <v>0</v>
      </c>
      <c r="U223" t="s">
        <v>796</v>
      </c>
      <c r="V223">
        <v>16.5</v>
      </c>
      <c r="W223">
        <v>0.97</v>
      </c>
      <c r="X223" t="s">
        <v>805</v>
      </c>
      <c r="Y223">
        <v>100.1</v>
      </c>
      <c r="Z223" t="s">
        <v>814</v>
      </c>
      <c r="AA223">
        <v>44.965752073149069</v>
      </c>
      <c r="AB223">
        <v>45.352195874381238</v>
      </c>
      <c r="AC223">
        <v>48.710452803977454</v>
      </c>
      <c r="AD223">
        <v>45.705326283363782</v>
      </c>
      <c r="AE223">
        <v>28.887656271058376</v>
      </c>
      <c r="AF223">
        <v>29.595287703267342</v>
      </c>
      <c r="AG223">
        <v>50.947800011448493</v>
      </c>
      <c r="AH223">
        <v>11.062365637070762</v>
      </c>
      <c r="AI223">
        <v>0.71707536465956956</v>
      </c>
      <c r="AJ223">
        <v>0.71707536465956956</v>
      </c>
      <c r="AK223">
        <v>4.8985617034249848E-2</v>
      </c>
      <c r="AL223">
        <v>4.4094137011030439</v>
      </c>
    </row>
    <row r="224" spans="1:38">
      <c r="A224" t="s">
        <v>67</v>
      </c>
      <c r="B224" t="s">
        <v>95</v>
      </c>
      <c r="C224">
        <v>240823</v>
      </c>
      <c r="D224" t="s">
        <v>323</v>
      </c>
      <c r="E224" t="s">
        <v>654</v>
      </c>
      <c r="F224" t="s">
        <v>766</v>
      </c>
      <c r="G224">
        <v>1.6</v>
      </c>
      <c r="H224">
        <v>47.1</v>
      </c>
      <c r="I224">
        <v>23.5</v>
      </c>
      <c r="J224">
        <v>31.5</v>
      </c>
      <c r="K224">
        <v>9.9</v>
      </c>
      <c r="L224">
        <v>44.6</v>
      </c>
      <c r="M224" t="s">
        <v>780</v>
      </c>
      <c r="N224" t="s">
        <v>787</v>
      </c>
      <c r="AA224">
        <v>37.364799369106613</v>
      </c>
      <c r="AB224">
        <v>37.385786796152921</v>
      </c>
      <c r="AC224">
        <v>40.34828524406322</v>
      </c>
      <c r="AD224">
        <v>41.504128926775081</v>
      </c>
      <c r="AE224">
        <v>27.451373089028465</v>
      </c>
      <c r="AF224">
        <v>26.533633215630744</v>
      </c>
      <c r="AG224">
        <v>39.157609533185479</v>
      </c>
      <c r="AH224">
        <v>5.8151497935941174</v>
      </c>
      <c r="AI224">
        <v>0.24978514789043416</v>
      </c>
      <c r="AJ224">
        <v>0.24978514789043416</v>
      </c>
      <c r="AK224">
        <v>2.7087322286166199E-2</v>
      </c>
      <c r="AL224">
        <v>2.3178949254682299</v>
      </c>
    </row>
    <row r="225" spans="1:38">
      <c r="A225" t="s">
        <v>70</v>
      </c>
      <c r="B225" t="s">
        <v>97</v>
      </c>
      <c r="C225">
        <v>240821</v>
      </c>
      <c r="D225" t="s">
        <v>324</v>
      </c>
      <c r="E225" t="s">
        <v>655</v>
      </c>
      <c r="F225" t="s">
        <v>766</v>
      </c>
      <c r="G225">
        <v>1.85</v>
      </c>
      <c r="H225">
        <v>75.099999999999994</v>
      </c>
      <c r="I225">
        <v>25.5</v>
      </c>
      <c r="J225">
        <v>37.5</v>
      </c>
      <c r="K225">
        <v>11.1</v>
      </c>
      <c r="L225">
        <v>55</v>
      </c>
      <c r="M225" t="s">
        <v>776</v>
      </c>
      <c r="N225" t="s">
        <v>787</v>
      </c>
      <c r="O225">
        <v>17.36</v>
      </c>
      <c r="P225">
        <v>187</v>
      </c>
      <c r="Q225">
        <v>0</v>
      </c>
      <c r="R225">
        <v>76.400000000000006</v>
      </c>
      <c r="S225">
        <v>187</v>
      </c>
      <c r="T225">
        <v>0</v>
      </c>
      <c r="U225" t="s">
        <v>797</v>
      </c>
      <c r="V225">
        <v>15.2</v>
      </c>
      <c r="W225">
        <v>2.19</v>
      </c>
      <c r="X225" t="s">
        <v>804</v>
      </c>
      <c r="Y225">
        <v>100</v>
      </c>
      <c r="Z225" t="s">
        <v>814</v>
      </c>
      <c r="AA225">
        <v>44.279398168065356</v>
      </c>
      <c r="AB225">
        <v>43.160694849365527</v>
      </c>
      <c r="AC225">
        <v>45.208108589082094</v>
      </c>
      <c r="AD225">
        <v>46.38501928841734</v>
      </c>
      <c r="AE225">
        <v>28.881866697143447</v>
      </c>
      <c r="AF225">
        <v>28.852193513037538</v>
      </c>
      <c r="AG225">
        <v>47.932698288108973</v>
      </c>
      <c r="AH225">
        <v>9.2721390551787302</v>
      </c>
      <c r="AI225">
        <v>0.5988118580223234</v>
      </c>
      <c r="AJ225">
        <v>0.5988118580223234</v>
      </c>
      <c r="AK225">
        <v>5.0000590498521236E-2</v>
      </c>
      <c r="AL225">
        <v>3.6958367070629308</v>
      </c>
    </row>
    <row r="226" spans="1:38">
      <c r="A226" t="s">
        <v>73</v>
      </c>
      <c r="B226" t="s">
        <v>98</v>
      </c>
      <c r="C226">
        <v>240828</v>
      </c>
      <c r="D226" t="s">
        <v>325</v>
      </c>
      <c r="E226" t="s">
        <v>656</v>
      </c>
      <c r="F226" t="s">
        <v>766</v>
      </c>
      <c r="G226">
        <v>1.69</v>
      </c>
      <c r="H226">
        <v>56.5</v>
      </c>
      <c r="I226">
        <v>23.5</v>
      </c>
      <c r="J226">
        <v>33.9</v>
      </c>
      <c r="K226">
        <v>9.6</v>
      </c>
      <c r="L226">
        <v>48.9</v>
      </c>
      <c r="M226" t="s">
        <v>783</v>
      </c>
      <c r="N226" t="s">
        <v>787</v>
      </c>
      <c r="O226">
        <v>15.86</v>
      </c>
      <c r="P226">
        <v>176</v>
      </c>
      <c r="Q226">
        <v>173.5</v>
      </c>
      <c r="R226">
        <v>56.2</v>
      </c>
      <c r="S226">
        <v>170</v>
      </c>
      <c r="T226">
        <v>0</v>
      </c>
      <c r="U226" t="s">
        <v>796</v>
      </c>
      <c r="V226">
        <v>16.5</v>
      </c>
      <c r="W226">
        <v>-0.64</v>
      </c>
      <c r="X226" t="s">
        <v>805</v>
      </c>
      <c r="Y226">
        <v>96.59</v>
      </c>
      <c r="Z226" t="s">
        <v>813</v>
      </c>
      <c r="AA226">
        <v>38.729747219447539</v>
      </c>
      <c r="AB226">
        <v>38.258116474084943</v>
      </c>
      <c r="AC226">
        <v>41.612578204282173</v>
      </c>
      <c r="AD226">
        <v>41.129961686146487</v>
      </c>
      <c r="AE226">
        <v>24.192562621366541</v>
      </c>
      <c r="AF226">
        <v>23.974056103568692</v>
      </c>
      <c r="AG226">
        <v>41.915815091154073</v>
      </c>
      <c r="AH226">
        <v>6.9757104742689524</v>
      </c>
      <c r="AI226">
        <v>0.34062255410679054</v>
      </c>
      <c r="AJ226">
        <v>0.34062255410679054</v>
      </c>
      <c r="AK226">
        <v>3.8532149208596787E-2</v>
      </c>
      <c r="AL226">
        <v>2.7804896664321652</v>
      </c>
    </row>
    <row r="227" spans="1:38">
      <c r="A227" t="s">
        <v>74</v>
      </c>
      <c r="B227" t="s">
        <v>98</v>
      </c>
      <c r="C227">
        <v>240828</v>
      </c>
      <c r="D227" t="s">
        <v>326</v>
      </c>
      <c r="E227" t="s">
        <v>657</v>
      </c>
      <c r="F227" t="s">
        <v>766</v>
      </c>
      <c r="G227">
        <v>1.837</v>
      </c>
      <c r="H227">
        <v>72</v>
      </c>
      <c r="I227">
        <v>26.2</v>
      </c>
      <c r="J227">
        <v>36.6</v>
      </c>
      <c r="K227">
        <v>10</v>
      </c>
      <c r="L227">
        <v>52</v>
      </c>
      <c r="M227" t="s">
        <v>780</v>
      </c>
      <c r="N227" t="s">
        <v>788</v>
      </c>
      <c r="O227">
        <v>17.010000000000002</v>
      </c>
      <c r="P227">
        <v>186.9</v>
      </c>
      <c r="Q227">
        <v>186.7</v>
      </c>
      <c r="R227">
        <v>71.599999999999994</v>
      </c>
      <c r="S227">
        <v>184.7</v>
      </c>
      <c r="T227">
        <v>0</v>
      </c>
      <c r="U227" t="s">
        <v>796</v>
      </c>
      <c r="V227">
        <v>16.5</v>
      </c>
      <c r="W227">
        <v>0.49</v>
      </c>
      <c r="X227" t="s">
        <v>805</v>
      </c>
      <c r="Y227">
        <v>98.82</v>
      </c>
      <c r="Z227" t="s">
        <v>814</v>
      </c>
      <c r="AA227">
        <v>41.028028091015628</v>
      </c>
      <c r="AB227">
        <v>41.954069809348596</v>
      </c>
      <c r="AC227">
        <v>44.361883947782687</v>
      </c>
      <c r="AD227">
        <v>44.750822287213666</v>
      </c>
      <c r="AE227">
        <v>27.025179423348085</v>
      </c>
      <c r="AF227">
        <v>26.838746609293405</v>
      </c>
      <c r="AG227">
        <v>50.262527325389172</v>
      </c>
      <c r="AH227">
        <v>8.8894009583604348</v>
      </c>
      <c r="AI227">
        <v>0.48001252320764864</v>
      </c>
      <c r="AJ227">
        <v>0.48001252320764864</v>
      </c>
      <c r="AK227">
        <v>4.6173930785414569E-2</v>
      </c>
      <c r="AL227">
        <v>3.5432788669578033</v>
      </c>
    </row>
    <row r="228" spans="1:38">
      <c r="A228" t="s">
        <v>75</v>
      </c>
      <c r="B228" t="s">
        <v>94</v>
      </c>
      <c r="C228">
        <v>240820</v>
      </c>
      <c r="D228" t="s">
        <v>327</v>
      </c>
      <c r="E228" t="s">
        <v>658</v>
      </c>
      <c r="F228" t="s">
        <v>766</v>
      </c>
      <c r="G228">
        <v>1.556</v>
      </c>
      <c r="H228">
        <v>46.2</v>
      </c>
      <c r="I228">
        <v>22.5</v>
      </c>
      <c r="J228">
        <v>32.299999999999997</v>
      </c>
      <c r="K228">
        <v>9.4</v>
      </c>
      <c r="L228">
        <v>44.4</v>
      </c>
      <c r="M228" t="s">
        <v>780</v>
      </c>
      <c r="N228" t="s">
        <v>787</v>
      </c>
      <c r="O228">
        <v>11.15</v>
      </c>
      <c r="P228">
        <v>175.2</v>
      </c>
      <c r="Q228">
        <v>176.5</v>
      </c>
      <c r="R228">
        <v>39.4</v>
      </c>
      <c r="S228">
        <v>146.19999999999999</v>
      </c>
      <c r="T228">
        <v>0</v>
      </c>
      <c r="U228" t="s">
        <v>796</v>
      </c>
      <c r="V228">
        <v>12.4</v>
      </c>
      <c r="W228">
        <v>-1.21</v>
      </c>
      <c r="X228" t="s">
        <v>808</v>
      </c>
      <c r="Y228">
        <v>83.45</v>
      </c>
      <c r="Z228" t="s">
        <v>811</v>
      </c>
      <c r="AA228">
        <v>38.425840131844453</v>
      </c>
      <c r="AB228">
        <v>36.870629430208979</v>
      </c>
      <c r="AC228">
        <v>38.212719758428918</v>
      </c>
      <c r="AD228">
        <v>36.680371498479772</v>
      </c>
      <c r="AE228">
        <v>24.540476899419957</v>
      </c>
      <c r="AF228">
        <v>24.423361578175992</v>
      </c>
      <c r="AG228">
        <v>38.045270343096384</v>
      </c>
      <c r="AH228">
        <v>5.7040322816146123</v>
      </c>
      <c r="AI228">
        <v>0.23817008574342297</v>
      </c>
      <c r="AJ228">
        <v>0.23817008574342297</v>
      </c>
      <c r="AK228">
        <v>2.7710468034143221E-2</v>
      </c>
      <c r="AL228">
        <v>2.2736039396312573</v>
      </c>
    </row>
    <row r="229" spans="1:38">
      <c r="A229" t="s">
        <v>76</v>
      </c>
      <c r="B229" t="s">
        <v>94</v>
      </c>
      <c r="C229">
        <v>240819</v>
      </c>
      <c r="D229" t="s">
        <v>328</v>
      </c>
      <c r="E229" t="s">
        <v>659</v>
      </c>
      <c r="F229" t="s">
        <v>766</v>
      </c>
      <c r="G229">
        <v>1.46</v>
      </c>
      <c r="H229">
        <v>39.700000000000003</v>
      </c>
      <c r="I229">
        <v>21.5</v>
      </c>
      <c r="J229">
        <v>29</v>
      </c>
      <c r="K229">
        <v>9.5</v>
      </c>
      <c r="L229">
        <v>42.9</v>
      </c>
      <c r="M229" t="s">
        <v>781</v>
      </c>
      <c r="N229" t="s">
        <v>787</v>
      </c>
      <c r="O229">
        <v>12.73</v>
      </c>
      <c r="P229">
        <v>181.8</v>
      </c>
      <c r="Q229">
        <v>180.8</v>
      </c>
      <c r="R229">
        <v>45.6</v>
      </c>
      <c r="S229">
        <v>156.4</v>
      </c>
      <c r="T229">
        <v>0</v>
      </c>
      <c r="U229" t="s">
        <v>797</v>
      </c>
      <c r="V229">
        <v>12.2</v>
      </c>
      <c r="W229">
        <v>0.53</v>
      </c>
      <c r="X229" t="s">
        <v>805</v>
      </c>
      <c r="Y229">
        <v>86.03</v>
      </c>
      <c r="Z229" t="s">
        <v>811</v>
      </c>
      <c r="AA229">
        <v>31.445068587132546</v>
      </c>
      <c r="AB229">
        <v>31.604522128500868</v>
      </c>
      <c r="AC229">
        <v>38.314901448718544</v>
      </c>
      <c r="AD229">
        <v>36.398459732098438</v>
      </c>
      <c r="AE229">
        <v>23.63988345884065</v>
      </c>
      <c r="AF229">
        <v>22.613809419469529</v>
      </c>
      <c r="AG229">
        <v>35.934809460725702</v>
      </c>
      <c r="AH229">
        <v>4.9015169173181841</v>
      </c>
      <c r="AI229">
        <v>0.16908293655164894</v>
      </c>
      <c r="AJ229">
        <v>0.16908293655164894</v>
      </c>
      <c r="AK229">
        <v>2.3321640718559654E-2</v>
      </c>
      <c r="AL229">
        <v>1.9537245974753445</v>
      </c>
    </row>
    <row r="230" spans="1:38">
      <c r="A230" t="s">
        <v>77</v>
      </c>
      <c r="B230" t="s">
        <v>97</v>
      </c>
      <c r="C230">
        <v>240826</v>
      </c>
      <c r="D230" t="s">
        <v>329</v>
      </c>
      <c r="E230" t="s">
        <v>660</v>
      </c>
      <c r="F230" t="s">
        <v>766</v>
      </c>
      <c r="G230">
        <v>1.796</v>
      </c>
      <c r="H230">
        <v>60</v>
      </c>
      <c r="I230">
        <v>22.8</v>
      </c>
      <c r="J230">
        <v>35</v>
      </c>
      <c r="K230">
        <v>10</v>
      </c>
      <c r="L230">
        <v>50</v>
      </c>
      <c r="M230" t="s">
        <v>783</v>
      </c>
      <c r="N230" t="s">
        <v>787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800</v>
      </c>
      <c r="V230">
        <v>0</v>
      </c>
      <c r="W230">
        <v>0</v>
      </c>
      <c r="X230" t="s">
        <v>800</v>
      </c>
      <c r="Y230">
        <v>0</v>
      </c>
      <c r="Z230" t="s">
        <v>800</v>
      </c>
      <c r="AA230">
        <v>42.748879617411987</v>
      </c>
      <c r="AB230">
        <v>39.468700577372076</v>
      </c>
      <c r="AC230">
        <v>39.273725297336512</v>
      </c>
      <c r="AD230">
        <v>41.670142833228454</v>
      </c>
      <c r="AE230">
        <v>24.580421255417114</v>
      </c>
      <c r="AF230">
        <v>25.01617368549001</v>
      </c>
      <c r="AG230">
        <v>48.113576883176378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 t="s">
        <v>78</v>
      </c>
      <c r="B231" t="s">
        <v>97</v>
      </c>
      <c r="C231">
        <v>240826</v>
      </c>
      <c r="D231" t="s">
        <v>330</v>
      </c>
      <c r="E231" t="s">
        <v>661</v>
      </c>
      <c r="F231" t="s">
        <v>766</v>
      </c>
      <c r="G231">
        <v>1.75</v>
      </c>
      <c r="H231">
        <v>62.5</v>
      </c>
      <c r="I231">
        <v>25</v>
      </c>
      <c r="J231">
        <v>35.6</v>
      </c>
      <c r="K231">
        <v>10.4</v>
      </c>
      <c r="L231">
        <v>50.6</v>
      </c>
      <c r="M231" t="s">
        <v>780</v>
      </c>
      <c r="N231" t="s">
        <v>788</v>
      </c>
      <c r="O231">
        <v>15.6</v>
      </c>
      <c r="P231">
        <v>181</v>
      </c>
      <c r="Q231">
        <v>180.3</v>
      </c>
      <c r="R231">
        <v>60.5</v>
      </c>
      <c r="S231">
        <v>176</v>
      </c>
      <c r="T231">
        <v>0</v>
      </c>
      <c r="U231" t="s">
        <v>798</v>
      </c>
      <c r="V231">
        <v>15</v>
      </c>
      <c r="W231">
        <v>0.63</v>
      </c>
      <c r="X231" t="s">
        <v>805</v>
      </c>
      <c r="Y231">
        <v>97.24</v>
      </c>
      <c r="Z231" t="s">
        <v>814</v>
      </c>
      <c r="AA231">
        <v>41.979101615775917</v>
      </c>
      <c r="AB231">
        <v>42.85300053942418</v>
      </c>
      <c r="AC231">
        <v>43.477305089756307</v>
      </c>
      <c r="AD231">
        <v>42.879213070140409</v>
      </c>
      <c r="AE231">
        <v>28.082607154407345</v>
      </c>
      <c r="AF231">
        <v>27.333311562842727</v>
      </c>
      <c r="AG231">
        <v>44.724770712111315</v>
      </c>
      <c r="AH231">
        <v>7.7164938874656555</v>
      </c>
      <c r="AI231">
        <v>0.41374465087624834</v>
      </c>
      <c r="AJ231">
        <v>0.41374465087624834</v>
      </c>
      <c r="AK231">
        <v>4.1571184923224487E-2</v>
      </c>
      <c r="AL231">
        <v>3.0757629053453157</v>
      </c>
    </row>
    <row r="232" spans="1:38">
      <c r="A232" t="s">
        <v>1</v>
      </c>
      <c r="B232" t="s">
        <v>94</v>
      </c>
      <c r="C232">
        <v>241127</v>
      </c>
      <c r="D232" t="s">
        <v>331</v>
      </c>
      <c r="E232" t="s">
        <v>662</v>
      </c>
      <c r="F232" t="s">
        <v>767</v>
      </c>
      <c r="G232">
        <v>1.75</v>
      </c>
      <c r="H232">
        <v>52</v>
      </c>
      <c r="I232">
        <v>24.3</v>
      </c>
      <c r="J232">
        <v>33.4</v>
      </c>
      <c r="K232">
        <v>11.2</v>
      </c>
      <c r="L232">
        <v>45.3</v>
      </c>
      <c r="M232" t="s">
        <v>776</v>
      </c>
      <c r="N232" t="s">
        <v>787</v>
      </c>
      <c r="O232">
        <v>14.69</v>
      </c>
      <c r="P232">
        <v>192.6</v>
      </c>
      <c r="Q232">
        <v>185.6</v>
      </c>
      <c r="R232">
        <v>51.9</v>
      </c>
      <c r="S232">
        <v>174.6</v>
      </c>
      <c r="T232">
        <v>0</v>
      </c>
      <c r="U232" t="s">
        <v>796</v>
      </c>
      <c r="V232">
        <v>12.8</v>
      </c>
      <c r="W232">
        <v>1.91</v>
      </c>
      <c r="X232" t="s">
        <v>806</v>
      </c>
      <c r="Y232">
        <v>90.65</v>
      </c>
      <c r="Z232" t="s">
        <v>812</v>
      </c>
      <c r="AA232">
        <v>40.109306844615539</v>
      </c>
      <c r="AB232">
        <v>39.011190342850654</v>
      </c>
      <c r="AC232">
        <v>41.996087996488356</v>
      </c>
      <c r="AD232">
        <v>45.212948296296844</v>
      </c>
      <c r="AE232">
        <v>27.798356092053098</v>
      </c>
      <c r="AF232">
        <v>27.780726993769946</v>
      </c>
      <c r="AG232">
        <v>44.729851464888199</v>
      </c>
      <c r="AH232">
        <v>6.4201229143714249</v>
      </c>
      <c r="AI232">
        <v>0.32193368115278787</v>
      </c>
      <c r="AJ232">
        <v>0.32193368115278787</v>
      </c>
      <c r="AK232">
        <v>2.7396101143019588E-2</v>
      </c>
      <c r="AL232">
        <v>2.5590347372473023</v>
      </c>
    </row>
    <row r="233" spans="1:38">
      <c r="A233" t="s">
        <v>2</v>
      </c>
      <c r="B233" t="s">
        <v>94</v>
      </c>
      <c r="C233">
        <v>241127</v>
      </c>
      <c r="D233" t="s">
        <v>332</v>
      </c>
      <c r="E233" t="s">
        <v>663</v>
      </c>
      <c r="F233" t="s">
        <v>767</v>
      </c>
      <c r="G233">
        <v>1.51</v>
      </c>
      <c r="H233">
        <v>35.700000000000003</v>
      </c>
      <c r="I233">
        <v>21.5</v>
      </c>
      <c r="J233">
        <v>27.5</v>
      </c>
      <c r="K233">
        <v>9</v>
      </c>
      <c r="L233">
        <v>40</v>
      </c>
      <c r="M233" t="s">
        <v>784</v>
      </c>
      <c r="N233" t="s">
        <v>787</v>
      </c>
      <c r="O233">
        <v>12.27</v>
      </c>
      <c r="P233">
        <v>176.2</v>
      </c>
      <c r="Q233">
        <v>177.9</v>
      </c>
      <c r="R233">
        <v>36</v>
      </c>
      <c r="S233">
        <v>150.1</v>
      </c>
      <c r="T233">
        <v>0</v>
      </c>
      <c r="U233" t="s">
        <v>797</v>
      </c>
      <c r="V233">
        <v>12.4</v>
      </c>
      <c r="W233">
        <v>-0.12</v>
      </c>
      <c r="X233" t="s">
        <v>805</v>
      </c>
      <c r="Y233">
        <v>85.19</v>
      </c>
      <c r="Z233" t="s">
        <v>811</v>
      </c>
      <c r="AA233">
        <v>35.322797174610812</v>
      </c>
      <c r="AB233">
        <v>34.386884955634287</v>
      </c>
      <c r="AC233">
        <v>36.306789485314582</v>
      </c>
      <c r="AD233">
        <v>36.393641114262536</v>
      </c>
      <c r="AE233">
        <v>24.019068665498935</v>
      </c>
      <c r="AF233">
        <v>23.838592419427677</v>
      </c>
      <c r="AG233">
        <v>34.704944361869082</v>
      </c>
      <c r="AH233">
        <v>4.4076613085203826</v>
      </c>
      <c r="AI233">
        <v>0.16791474880156781</v>
      </c>
      <c r="AJ233">
        <v>0.16791474880156781</v>
      </c>
      <c r="AK233">
        <v>1.3957222131673894E-2</v>
      </c>
      <c r="AL233">
        <v>1.7568757715332444</v>
      </c>
    </row>
    <row r="234" spans="1:38">
      <c r="A234" t="s">
        <v>3</v>
      </c>
      <c r="B234" t="s">
        <v>94</v>
      </c>
      <c r="C234">
        <v>241204</v>
      </c>
      <c r="D234" t="s">
        <v>333</v>
      </c>
      <c r="E234" t="s">
        <v>664</v>
      </c>
      <c r="F234" t="s">
        <v>767</v>
      </c>
      <c r="G234">
        <v>1.526</v>
      </c>
      <c r="H234">
        <v>39.700000000000003</v>
      </c>
      <c r="I234">
        <v>22.8</v>
      </c>
      <c r="J234">
        <v>29.7</v>
      </c>
      <c r="K234">
        <v>9.5</v>
      </c>
      <c r="L234">
        <v>40.299999999999997</v>
      </c>
      <c r="M234" t="s">
        <v>780</v>
      </c>
      <c r="N234" t="s">
        <v>787</v>
      </c>
      <c r="O234">
        <v>11.66</v>
      </c>
      <c r="P234">
        <v>181.9</v>
      </c>
      <c r="Q234">
        <v>182.6</v>
      </c>
      <c r="R234">
        <v>39.4</v>
      </c>
      <c r="S234">
        <v>150.9</v>
      </c>
      <c r="T234">
        <v>0</v>
      </c>
      <c r="U234" t="s">
        <v>796</v>
      </c>
      <c r="V234">
        <v>11.6</v>
      </c>
      <c r="W234">
        <v>0.08</v>
      </c>
      <c r="X234" t="s">
        <v>805</v>
      </c>
      <c r="Y234">
        <v>82.96</v>
      </c>
      <c r="Z234" t="s">
        <v>811</v>
      </c>
      <c r="AA234">
        <v>32.993580129775609</v>
      </c>
      <c r="AB234">
        <v>32.664657193378048</v>
      </c>
      <c r="AC234">
        <v>37.955329884999742</v>
      </c>
      <c r="AD234">
        <v>35.843894131772842</v>
      </c>
      <c r="AE234">
        <v>24.132494910250241</v>
      </c>
      <c r="AF234">
        <v>24.052768547810221</v>
      </c>
      <c r="AG234">
        <v>38.402290265978387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 t="s">
        <v>4</v>
      </c>
      <c r="B235" t="s">
        <v>94</v>
      </c>
      <c r="C235">
        <v>241127</v>
      </c>
      <c r="D235" t="s">
        <v>334</v>
      </c>
      <c r="E235" t="s">
        <v>665</v>
      </c>
      <c r="F235" t="s">
        <v>767</v>
      </c>
      <c r="G235">
        <v>1.53</v>
      </c>
      <c r="H235">
        <v>38.700000000000003</v>
      </c>
      <c r="I235">
        <v>22.8</v>
      </c>
      <c r="J235">
        <v>28.5</v>
      </c>
      <c r="K235">
        <v>9.6999999999999993</v>
      </c>
      <c r="L235">
        <v>40.5</v>
      </c>
      <c r="M235" t="s">
        <v>776</v>
      </c>
      <c r="N235" t="s">
        <v>787</v>
      </c>
      <c r="O235">
        <v>12.7</v>
      </c>
      <c r="P235">
        <v>176.7</v>
      </c>
      <c r="Q235">
        <v>177.3</v>
      </c>
      <c r="R235">
        <v>38.4</v>
      </c>
      <c r="S235">
        <v>152.6</v>
      </c>
      <c r="T235">
        <v>0</v>
      </c>
      <c r="U235" t="s">
        <v>796</v>
      </c>
      <c r="V235">
        <v>12.7</v>
      </c>
      <c r="W235">
        <v>-0.03</v>
      </c>
      <c r="X235" t="s">
        <v>805</v>
      </c>
      <c r="Y235">
        <v>86.36</v>
      </c>
      <c r="Z235" t="s">
        <v>811</v>
      </c>
      <c r="AA235">
        <v>36.290707031770495</v>
      </c>
      <c r="AB235">
        <v>36.843648168223375</v>
      </c>
      <c r="AC235">
        <v>36.846172226852104</v>
      </c>
      <c r="AD235">
        <v>37.033351704959941</v>
      </c>
      <c r="AE235">
        <v>25.467606184512725</v>
      </c>
      <c r="AF235">
        <v>25.620661689771783</v>
      </c>
      <c r="AG235">
        <v>34.6224204671813</v>
      </c>
      <c r="AH235">
        <v>4.7780530151187337</v>
      </c>
      <c r="AI235">
        <v>0.20427470303143222</v>
      </c>
      <c r="AJ235">
        <v>0.20427470303143222</v>
      </c>
      <c r="AK235">
        <v>1.8474592136008688E-2</v>
      </c>
      <c r="AL235">
        <v>1.9045123909898194</v>
      </c>
    </row>
    <row r="236" spans="1:38">
      <c r="A236" t="s">
        <v>5</v>
      </c>
      <c r="B236" t="s">
        <v>94</v>
      </c>
      <c r="C236">
        <v>241127</v>
      </c>
      <c r="D236" t="s">
        <v>335</v>
      </c>
      <c r="E236" t="s">
        <v>666</v>
      </c>
      <c r="F236" t="s">
        <v>767</v>
      </c>
      <c r="G236">
        <v>1.385</v>
      </c>
      <c r="H236">
        <v>35.799999999999997</v>
      </c>
      <c r="I236">
        <v>22.5</v>
      </c>
      <c r="J236">
        <v>29.5</v>
      </c>
      <c r="K236">
        <v>8.5</v>
      </c>
      <c r="L236">
        <v>35</v>
      </c>
      <c r="M236" t="s">
        <v>778</v>
      </c>
      <c r="N236" t="s">
        <v>788</v>
      </c>
      <c r="O236">
        <v>10.72</v>
      </c>
      <c r="P236">
        <v>169.5</v>
      </c>
      <c r="Q236">
        <v>169.3</v>
      </c>
      <c r="R236">
        <v>35.299999999999997</v>
      </c>
      <c r="S236">
        <v>138.9</v>
      </c>
      <c r="T236">
        <v>0</v>
      </c>
      <c r="U236" t="s">
        <v>798</v>
      </c>
      <c r="V236">
        <v>12.2</v>
      </c>
      <c r="W236">
        <v>-1.45</v>
      </c>
      <c r="X236" t="s">
        <v>808</v>
      </c>
      <c r="Y236">
        <v>81.95</v>
      </c>
      <c r="Z236" t="s">
        <v>811</v>
      </c>
      <c r="AA236">
        <v>32.317892193863209</v>
      </c>
      <c r="AB236">
        <v>30.296457937892207</v>
      </c>
      <c r="AC236">
        <v>35.195004733975836</v>
      </c>
      <c r="AD236">
        <v>36.167838126564696</v>
      </c>
      <c r="AE236">
        <v>23.149540433787855</v>
      </c>
      <c r="AF236">
        <v>23.148694962713805</v>
      </c>
      <c r="AG236">
        <v>32.236903012681879</v>
      </c>
      <c r="AH236">
        <v>4.420007698740327</v>
      </c>
      <c r="AI236">
        <v>0.13779187476851137</v>
      </c>
      <c r="AJ236">
        <v>0.13779187476851137</v>
      </c>
      <c r="AK236">
        <v>1.4879450527071009E-2</v>
      </c>
      <c r="AL236">
        <v>1.7617969921817966</v>
      </c>
    </row>
    <row r="237" spans="1:38">
      <c r="A237" t="s">
        <v>6</v>
      </c>
      <c r="B237" t="s">
        <v>94</v>
      </c>
      <c r="C237">
        <v>241127</v>
      </c>
      <c r="D237" t="s">
        <v>336</v>
      </c>
      <c r="E237" t="s">
        <v>667</v>
      </c>
      <c r="F237" t="s">
        <v>767</v>
      </c>
      <c r="G237">
        <v>1.5</v>
      </c>
      <c r="H237">
        <v>37.5</v>
      </c>
      <c r="I237">
        <v>22.3</v>
      </c>
      <c r="J237">
        <v>29.5</v>
      </c>
      <c r="K237">
        <v>10</v>
      </c>
      <c r="L237">
        <v>42.7</v>
      </c>
      <c r="M237" t="s">
        <v>783</v>
      </c>
      <c r="N237" t="s">
        <v>787</v>
      </c>
      <c r="O237">
        <v>12.54</v>
      </c>
      <c r="P237">
        <v>174.8</v>
      </c>
      <c r="Q237">
        <v>174.7</v>
      </c>
      <c r="R237">
        <v>37.9</v>
      </c>
      <c r="S237">
        <v>148.5</v>
      </c>
      <c r="T237">
        <v>0</v>
      </c>
      <c r="U237" t="s">
        <v>798</v>
      </c>
      <c r="V237">
        <v>12.1</v>
      </c>
      <c r="W237">
        <v>0.41</v>
      </c>
      <c r="X237" t="s">
        <v>805</v>
      </c>
      <c r="Y237">
        <v>84.95</v>
      </c>
      <c r="Z237" t="s">
        <v>811</v>
      </c>
      <c r="AA237">
        <v>34.966921089388585</v>
      </c>
      <c r="AB237">
        <v>32.86880364318246</v>
      </c>
      <c r="AC237">
        <v>36.061294099756843</v>
      </c>
      <c r="AD237">
        <v>35.878813133900287</v>
      </c>
      <c r="AE237">
        <v>25.110658283530412</v>
      </c>
      <c r="AF237">
        <v>24.787934486062518</v>
      </c>
      <c r="AG237">
        <v>36.191946901743272</v>
      </c>
      <c r="AH237">
        <v>4.6298963324793929</v>
      </c>
      <c r="AI237">
        <v>0.17567643966046742</v>
      </c>
      <c r="AJ237">
        <v>0.17567643966046742</v>
      </c>
      <c r="AK237">
        <v>1.5755521636126528E-2</v>
      </c>
      <c r="AL237">
        <v>1.8454577432071892</v>
      </c>
    </row>
    <row r="238" spans="1:38">
      <c r="A238" t="s">
        <v>8</v>
      </c>
      <c r="B238" t="s">
        <v>94</v>
      </c>
      <c r="C238">
        <v>241127</v>
      </c>
      <c r="D238" t="s">
        <v>337</v>
      </c>
      <c r="E238" t="s">
        <v>668</v>
      </c>
      <c r="F238" t="s">
        <v>767</v>
      </c>
      <c r="G238">
        <v>1.41</v>
      </c>
      <c r="H238">
        <v>38</v>
      </c>
      <c r="I238">
        <v>20</v>
      </c>
      <c r="J238">
        <v>29.5</v>
      </c>
      <c r="K238">
        <v>9.1999999999999993</v>
      </c>
      <c r="L238">
        <v>46</v>
      </c>
      <c r="M238" t="s">
        <v>779</v>
      </c>
      <c r="N238" t="s">
        <v>788</v>
      </c>
      <c r="O238">
        <v>10.86</v>
      </c>
      <c r="P238">
        <v>175.1</v>
      </c>
      <c r="Q238">
        <v>175.4</v>
      </c>
      <c r="R238">
        <v>38.5</v>
      </c>
      <c r="S238">
        <v>143.6</v>
      </c>
      <c r="T238">
        <v>0</v>
      </c>
      <c r="U238" t="s">
        <v>799</v>
      </c>
      <c r="V238">
        <v>11.9</v>
      </c>
      <c r="W238">
        <v>-1.05</v>
      </c>
      <c r="X238" t="s">
        <v>808</v>
      </c>
      <c r="Y238">
        <v>82.01</v>
      </c>
      <c r="Z238" t="s">
        <v>811</v>
      </c>
      <c r="AA238">
        <v>30.019335545765824</v>
      </c>
      <c r="AB238">
        <v>32.192641860385564</v>
      </c>
      <c r="AC238">
        <v>33.167204211740319</v>
      </c>
      <c r="AD238">
        <v>33.331378251222048</v>
      </c>
      <c r="AE238">
        <v>23.813932534497589</v>
      </c>
      <c r="AF238">
        <v>24.195892484184832</v>
      </c>
      <c r="AG238">
        <v>35.181835151043693</v>
      </c>
      <c r="AH238">
        <v>4.691628283579119</v>
      </c>
      <c r="AI238">
        <v>0.15664424407180982</v>
      </c>
      <c r="AJ238">
        <v>0.15664424407180982</v>
      </c>
      <c r="AK238">
        <v>1.955588974805654E-2</v>
      </c>
      <c r="AL238">
        <v>1.8700638464499519</v>
      </c>
    </row>
    <row r="239" spans="1:38">
      <c r="A239" t="s">
        <v>9</v>
      </c>
      <c r="B239" t="s">
        <v>94</v>
      </c>
      <c r="C239">
        <v>241210</v>
      </c>
      <c r="D239" t="s">
        <v>338</v>
      </c>
      <c r="E239" t="s">
        <v>669</v>
      </c>
      <c r="F239" t="s">
        <v>767</v>
      </c>
      <c r="G239">
        <v>1.58</v>
      </c>
      <c r="H239">
        <v>47</v>
      </c>
      <c r="I239">
        <v>23.8</v>
      </c>
      <c r="J239">
        <v>32.4</v>
      </c>
      <c r="K239">
        <v>11.2</v>
      </c>
      <c r="L239">
        <v>47</v>
      </c>
      <c r="M239" t="s">
        <v>779</v>
      </c>
      <c r="N239" t="s">
        <v>787</v>
      </c>
      <c r="O239">
        <v>13.29</v>
      </c>
      <c r="P239">
        <v>179.9</v>
      </c>
      <c r="Q239">
        <v>177.5</v>
      </c>
      <c r="R239">
        <v>46</v>
      </c>
      <c r="S239">
        <v>157.80000000000001</v>
      </c>
      <c r="T239">
        <v>0</v>
      </c>
      <c r="U239" t="s">
        <v>796</v>
      </c>
      <c r="V239">
        <v>12.7</v>
      </c>
      <c r="W239">
        <v>0.56999999999999995</v>
      </c>
      <c r="X239" t="s">
        <v>805</v>
      </c>
      <c r="Y239">
        <v>87.72</v>
      </c>
      <c r="Z239" t="s">
        <v>811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 t="s">
        <v>11</v>
      </c>
      <c r="B240" t="s">
        <v>94</v>
      </c>
      <c r="C240">
        <v>241127</v>
      </c>
      <c r="D240" t="s">
        <v>339</v>
      </c>
      <c r="E240" t="s">
        <v>670</v>
      </c>
      <c r="F240" t="s">
        <v>767</v>
      </c>
      <c r="G240">
        <v>1.61</v>
      </c>
      <c r="H240">
        <v>48.6</v>
      </c>
      <c r="I240">
        <v>24.2</v>
      </c>
      <c r="J240">
        <v>32</v>
      </c>
      <c r="K240">
        <v>10.1</v>
      </c>
      <c r="L240">
        <v>43</v>
      </c>
      <c r="M240" t="s">
        <v>781</v>
      </c>
      <c r="N240" t="s">
        <v>787</v>
      </c>
      <c r="AA240">
        <v>39.536402554805804</v>
      </c>
      <c r="AB240">
        <v>38.288083313080492</v>
      </c>
      <c r="AC240">
        <v>38.316265445258011</v>
      </c>
      <c r="AD240">
        <v>39.235560513748013</v>
      </c>
      <c r="AE240">
        <v>25.576900886671016</v>
      </c>
      <c r="AF240">
        <v>26.163642776455127</v>
      </c>
      <c r="AG240">
        <v>39.92842531706777</v>
      </c>
      <c r="AH240">
        <v>6.0003456468932939</v>
      </c>
      <c r="AI240">
        <v>0.28368546160775937</v>
      </c>
      <c r="AJ240">
        <v>0.28368546160775937</v>
      </c>
      <c r="AK240">
        <v>2.2447663206440559E-2</v>
      </c>
      <c r="AL240">
        <v>2.3917132351965176</v>
      </c>
    </row>
    <row r="241" spans="1:38">
      <c r="A241" t="s">
        <v>12</v>
      </c>
      <c r="B241" t="s">
        <v>94</v>
      </c>
      <c r="C241">
        <v>241127</v>
      </c>
      <c r="D241" t="s">
        <v>340</v>
      </c>
      <c r="E241" t="s">
        <v>671</v>
      </c>
      <c r="F241" t="s">
        <v>767</v>
      </c>
      <c r="G241">
        <v>1.54</v>
      </c>
      <c r="H241">
        <v>38.1</v>
      </c>
      <c r="I241">
        <v>24.5</v>
      </c>
      <c r="J241">
        <v>29</v>
      </c>
      <c r="K241">
        <v>9</v>
      </c>
      <c r="L241">
        <v>39</v>
      </c>
      <c r="M241" t="s">
        <v>783</v>
      </c>
      <c r="N241" t="s">
        <v>788</v>
      </c>
      <c r="O241">
        <v>12.39</v>
      </c>
      <c r="P241">
        <v>180.6</v>
      </c>
      <c r="Q241">
        <v>180.5</v>
      </c>
      <c r="R241">
        <v>37.700000000000003</v>
      </c>
      <c r="S241">
        <v>154</v>
      </c>
      <c r="T241">
        <v>0</v>
      </c>
      <c r="U241" t="s">
        <v>798</v>
      </c>
      <c r="V241">
        <v>12.2</v>
      </c>
      <c r="W241">
        <v>0.19</v>
      </c>
      <c r="X241" t="s">
        <v>805</v>
      </c>
      <c r="Y241">
        <v>85.27</v>
      </c>
      <c r="Z241" t="s">
        <v>811</v>
      </c>
      <c r="AA241">
        <v>34.943632894824809</v>
      </c>
      <c r="AB241">
        <v>34.244154423414564</v>
      </c>
      <c r="AC241">
        <v>36.596673532830806</v>
      </c>
      <c r="AD241">
        <v>38.768614605857024</v>
      </c>
      <c r="AE241">
        <v>24.673093254893775</v>
      </c>
      <c r="AF241">
        <v>25.164498970991087</v>
      </c>
      <c r="AG241">
        <v>36.979164625564877</v>
      </c>
      <c r="AH241">
        <v>4.7039746737990633</v>
      </c>
      <c r="AI241">
        <v>0.19488996080441215</v>
      </c>
      <c r="AJ241">
        <v>0.19488996080441215</v>
      </c>
      <c r="AK241">
        <v>1.6554187039007986E-2</v>
      </c>
      <c r="AL241">
        <v>1.8749850670985042</v>
      </c>
    </row>
    <row r="242" spans="1:38">
      <c r="A242" t="s">
        <v>82</v>
      </c>
      <c r="B242" t="s">
        <v>96</v>
      </c>
      <c r="C242">
        <v>241204</v>
      </c>
      <c r="D242" t="s">
        <v>341</v>
      </c>
      <c r="E242" t="s">
        <v>672</v>
      </c>
      <c r="F242" t="s">
        <v>767</v>
      </c>
      <c r="G242">
        <v>1.54</v>
      </c>
      <c r="H242">
        <v>44.4</v>
      </c>
      <c r="I242">
        <v>24</v>
      </c>
      <c r="J242">
        <v>31.5</v>
      </c>
      <c r="K242">
        <v>9.6</v>
      </c>
      <c r="L242">
        <v>45</v>
      </c>
      <c r="M242" t="s">
        <v>777</v>
      </c>
      <c r="N242" t="s">
        <v>787</v>
      </c>
      <c r="O242">
        <v>12.57</v>
      </c>
      <c r="P242">
        <v>176.1</v>
      </c>
      <c r="Q242">
        <v>179.1</v>
      </c>
      <c r="R242">
        <v>44</v>
      </c>
      <c r="S242">
        <v>153.80000000000001</v>
      </c>
      <c r="T242">
        <v>0</v>
      </c>
      <c r="U242" t="s">
        <v>797</v>
      </c>
      <c r="V242">
        <v>14.3</v>
      </c>
      <c r="W242">
        <v>-1.77</v>
      </c>
      <c r="X242" t="s">
        <v>808</v>
      </c>
      <c r="Y242">
        <v>87.36</v>
      </c>
      <c r="Z242" t="s">
        <v>811</v>
      </c>
      <c r="AA242">
        <v>33.534408571956881</v>
      </c>
      <c r="AB242">
        <v>34.092283871113537</v>
      </c>
      <c r="AC242">
        <v>39.467424190577873</v>
      </c>
      <c r="AD242">
        <v>36.636986562494911</v>
      </c>
      <c r="AE242">
        <v>24.055504771989096</v>
      </c>
      <c r="AF242">
        <v>24.082753266403117</v>
      </c>
      <c r="AG242">
        <v>37.091467725846499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 t="s">
        <v>86</v>
      </c>
      <c r="B243" t="s">
        <v>97</v>
      </c>
      <c r="C243">
        <v>241126</v>
      </c>
      <c r="D243" t="s">
        <v>342</v>
      </c>
      <c r="E243" t="s">
        <v>673</v>
      </c>
      <c r="F243" t="s">
        <v>767</v>
      </c>
      <c r="G243">
        <v>1.8359999999999999</v>
      </c>
      <c r="H243">
        <v>75.8</v>
      </c>
      <c r="I243">
        <v>28.8</v>
      </c>
      <c r="J243">
        <v>37.9</v>
      </c>
      <c r="K243">
        <v>11.3</v>
      </c>
      <c r="L243">
        <v>58.7</v>
      </c>
      <c r="M243" t="s">
        <v>780</v>
      </c>
      <c r="N243" t="s">
        <v>787</v>
      </c>
      <c r="O243">
        <v>17.010000000000002</v>
      </c>
      <c r="P243">
        <v>184</v>
      </c>
      <c r="Q243">
        <v>185.9</v>
      </c>
      <c r="R243">
        <v>75.2</v>
      </c>
      <c r="S243">
        <v>184.1</v>
      </c>
      <c r="T243">
        <v>0</v>
      </c>
      <c r="U243" t="s">
        <v>796</v>
      </c>
      <c r="V243">
        <v>15.6</v>
      </c>
      <c r="W243">
        <v>1.38</v>
      </c>
      <c r="X243" t="s">
        <v>806</v>
      </c>
      <c r="Y243">
        <v>100.05</v>
      </c>
      <c r="Z243" t="s">
        <v>814</v>
      </c>
      <c r="AA243">
        <v>40.968957286691037</v>
      </c>
      <c r="AB243">
        <v>39.656373625582248</v>
      </c>
      <c r="AC243">
        <v>45.054162812172336</v>
      </c>
      <c r="AD243">
        <v>46.674664713339212</v>
      </c>
      <c r="AE243">
        <v>29.251652917395045</v>
      </c>
      <c r="AF243">
        <v>28.767953172276215</v>
      </c>
      <c r="AG243">
        <v>47.548585781877804</v>
      </c>
      <c r="AH243">
        <v>9.3585637867183458</v>
      </c>
      <c r="AI243">
        <v>0.52792678131461668</v>
      </c>
      <c r="AJ243">
        <v>0.52792678131461668</v>
      </c>
      <c r="AK243">
        <v>5.398956322683169E-2</v>
      </c>
      <c r="AL243">
        <v>3.7302852516027989</v>
      </c>
    </row>
    <row r="244" spans="1:38">
      <c r="A244" t="s">
        <v>87</v>
      </c>
      <c r="B244" t="s">
        <v>97</v>
      </c>
      <c r="C244">
        <v>241126</v>
      </c>
      <c r="D244" t="s">
        <v>343</v>
      </c>
      <c r="E244" t="s">
        <v>674</v>
      </c>
      <c r="F244" t="s">
        <v>767</v>
      </c>
      <c r="G244">
        <v>1.732</v>
      </c>
      <c r="H244">
        <v>58.2</v>
      </c>
      <c r="I244">
        <v>22.8</v>
      </c>
      <c r="J244">
        <v>33.299999999999997</v>
      </c>
      <c r="K244">
        <v>10</v>
      </c>
      <c r="L244">
        <v>50.4</v>
      </c>
      <c r="M244" t="s">
        <v>782</v>
      </c>
      <c r="N244" t="s">
        <v>788</v>
      </c>
      <c r="O244">
        <v>16.04</v>
      </c>
      <c r="P244">
        <v>177.7</v>
      </c>
      <c r="Q244">
        <v>176.2</v>
      </c>
      <c r="R244">
        <v>58.7</v>
      </c>
      <c r="S244">
        <v>173.2</v>
      </c>
      <c r="T244">
        <v>0</v>
      </c>
      <c r="U244" t="s">
        <v>796</v>
      </c>
      <c r="V244">
        <v>15.8</v>
      </c>
      <c r="W244">
        <v>0.28000000000000003</v>
      </c>
      <c r="X244" t="s">
        <v>805</v>
      </c>
      <c r="Y244">
        <v>97.47</v>
      </c>
      <c r="Z244" t="s">
        <v>814</v>
      </c>
      <c r="AA244">
        <v>38.949042226013582</v>
      </c>
      <c r="AB244">
        <v>40.155383279289886</v>
      </c>
      <c r="AC244">
        <v>42.146742844956428</v>
      </c>
      <c r="AD244">
        <v>42.871150073657986</v>
      </c>
      <c r="AE244">
        <v>26.652824071787421</v>
      </c>
      <c r="AF244">
        <v>26.831333367335191</v>
      </c>
      <c r="AG244">
        <v>45.318554375786853</v>
      </c>
      <c r="AH244">
        <v>7.1855991080080175</v>
      </c>
      <c r="AI244">
        <v>0.36719750101662513</v>
      </c>
      <c r="AJ244">
        <v>0.36719750101662513</v>
      </c>
      <c r="AK244">
        <v>2.71043243069659E-2</v>
      </c>
      <c r="AL244">
        <v>2.8641504174575578</v>
      </c>
    </row>
    <row r="245" spans="1:38">
      <c r="A245" t="s">
        <v>88</v>
      </c>
      <c r="B245" t="s">
        <v>97</v>
      </c>
      <c r="C245">
        <v>241126</v>
      </c>
      <c r="D245" t="s">
        <v>344</v>
      </c>
      <c r="E245" t="s">
        <v>675</v>
      </c>
      <c r="F245" t="s">
        <v>767</v>
      </c>
      <c r="G245">
        <v>1.83</v>
      </c>
      <c r="H245">
        <v>80.400000000000006</v>
      </c>
      <c r="I245">
        <v>27.5</v>
      </c>
      <c r="J245">
        <v>39</v>
      </c>
      <c r="K245">
        <v>10.4</v>
      </c>
      <c r="L245">
        <v>59.7</v>
      </c>
      <c r="M245" t="s">
        <v>779</v>
      </c>
      <c r="N245" t="s">
        <v>787</v>
      </c>
      <c r="O245">
        <v>16.73</v>
      </c>
      <c r="P245">
        <v>182.9</v>
      </c>
      <c r="Q245">
        <v>184.2</v>
      </c>
      <c r="R245">
        <v>79</v>
      </c>
      <c r="S245">
        <v>182</v>
      </c>
      <c r="T245">
        <v>0</v>
      </c>
      <c r="U245" t="s">
        <v>797</v>
      </c>
      <c r="V245">
        <v>15.5</v>
      </c>
      <c r="W245">
        <v>1.28</v>
      </c>
      <c r="X245" t="s">
        <v>806</v>
      </c>
      <c r="Y245">
        <v>99.51</v>
      </c>
      <c r="Z245" t="s">
        <v>814</v>
      </c>
      <c r="AA245">
        <v>40.668910654906242</v>
      </c>
      <c r="AB245">
        <v>39.238999758482642</v>
      </c>
      <c r="AC245">
        <v>42.496033267453427</v>
      </c>
      <c r="AD245">
        <v>44.243328261061698</v>
      </c>
      <c r="AE245">
        <v>29.187469603774389</v>
      </c>
      <c r="AF245">
        <v>28.617780998094958</v>
      </c>
      <c r="AG245">
        <v>49.483009811713359</v>
      </c>
      <c r="AH245">
        <v>9.9264977368358185</v>
      </c>
      <c r="AI245">
        <v>0.53793253157345189</v>
      </c>
      <c r="AJ245">
        <v>0.53793253157345189</v>
      </c>
      <c r="AK245">
        <v>5.3442558216904974E-2</v>
      </c>
      <c r="AL245">
        <v>3.956661401436214</v>
      </c>
    </row>
    <row r="246" spans="1:38">
      <c r="A246" t="s">
        <v>15</v>
      </c>
      <c r="B246" t="s">
        <v>95</v>
      </c>
      <c r="C246">
        <v>241203</v>
      </c>
      <c r="D246" t="s">
        <v>345</v>
      </c>
      <c r="E246" t="s">
        <v>676</v>
      </c>
      <c r="F246" t="s">
        <v>767</v>
      </c>
      <c r="G246">
        <v>1.5740000000000001</v>
      </c>
      <c r="H246">
        <v>51</v>
      </c>
      <c r="I246">
        <v>26.3</v>
      </c>
      <c r="J246">
        <v>33.6</v>
      </c>
      <c r="K246">
        <v>10.3</v>
      </c>
      <c r="L246">
        <v>44.5</v>
      </c>
      <c r="M246" t="s">
        <v>778</v>
      </c>
      <c r="N246" t="s">
        <v>787</v>
      </c>
      <c r="O246">
        <v>12.51</v>
      </c>
      <c r="P246">
        <v>180.9</v>
      </c>
      <c r="Q246">
        <v>184.1</v>
      </c>
      <c r="R246">
        <v>51</v>
      </c>
      <c r="S246">
        <v>157</v>
      </c>
      <c r="T246">
        <v>0</v>
      </c>
      <c r="U246" t="s">
        <v>798</v>
      </c>
      <c r="V246">
        <v>13.3</v>
      </c>
      <c r="W246">
        <v>-0.75</v>
      </c>
      <c r="X246" t="s">
        <v>805</v>
      </c>
      <c r="Y246">
        <v>86.79</v>
      </c>
      <c r="Z246" t="s">
        <v>811</v>
      </c>
      <c r="AA246">
        <v>34.73432937256851</v>
      </c>
      <c r="AB246">
        <v>34.3170573888357</v>
      </c>
      <c r="AC246">
        <v>41.836006979675865</v>
      </c>
      <c r="AD246">
        <v>40.293624787937333</v>
      </c>
      <c r="AE246">
        <v>24.900830919307314</v>
      </c>
      <c r="AF246">
        <v>26.497815825931838</v>
      </c>
      <c r="AG246">
        <v>40.254682098670472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t="s">
        <v>19</v>
      </c>
      <c r="B247" t="s">
        <v>95</v>
      </c>
      <c r="C247">
        <v>241203</v>
      </c>
      <c r="D247" t="s">
        <v>346</v>
      </c>
      <c r="E247" t="s">
        <v>677</v>
      </c>
      <c r="F247" t="s">
        <v>767</v>
      </c>
      <c r="G247">
        <v>1.7150000000000001</v>
      </c>
      <c r="H247">
        <v>60.7</v>
      </c>
      <c r="I247">
        <v>23.5</v>
      </c>
      <c r="J247">
        <v>34.4</v>
      </c>
      <c r="K247">
        <v>10.8</v>
      </c>
      <c r="L247">
        <v>54</v>
      </c>
      <c r="M247" t="s">
        <v>784</v>
      </c>
      <c r="N247" t="s">
        <v>787</v>
      </c>
      <c r="O247">
        <v>14.24</v>
      </c>
      <c r="P247">
        <v>187.7</v>
      </c>
      <c r="Q247">
        <v>182.3</v>
      </c>
      <c r="R247">
        <v>59.8</v>
      </c>
      <c r="S247">
        <v>170.8</v>
      </c>
      <c r="T247">
        <v>0</v>
      </c>
      <c r="U247" t="s">
        <v>796</v>
      </c>
      <c r="V247">
        <v>13.7</v>
      </c>
      <c r="W247">
        <v>0.5</v>
      </c>
      <c r="X247" t="s">
        <v>805</v>
      </c>
      <c r="Y247">
        <v>91</v>
      </c>
      <c r="Z247" t="s">
        <v>812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 t="s">
        <v>21</v>
      </c>
      <c r="B248" t="s">
        <v>96</v>
      </c>
      <c r="C248">
        <v>241204</v>
      </c>
      <c r="D248" t="s">
        <v>347</v>
      </c>
      <c r="E248" t="s">
        <v>678</v>
      </c>
      <c r="F248" t="s">
        <v>767</v>
      </c>
      <c r="G248">
        <v>1.75</v>
      </c>
      <c r="H248">
        <v>57.4</v>
      </c>
      <c r="I248">
        <v>26</v>
      </c>
      <c r="J248">
        <v>35</v>
      </c>
      <c r="K248">
        <v>9.4</v>
      </c>
      <c r="L248">
        <v>47</v>
      </c>
      <c r="M248" t="s">
        <v>783</v>
      </c>
      <c r="N248" t="s">
        <v>787</v>
      </c>
      <c r="O248">
        <v>14.95</v>
      </c>
      <c r="P248">
        <v>183.3</v>
      </c>
      <c r="Q248">
        <v>178.7</v>
      </c>
      <c r="R248">
        <v>56.8</v>
      </c>
      <c r="S248">
        <v>173</v>
      </c>
      <c r="T248">
        <v>0</v>
      </c>
      <c r="U248" t="s">
        <v>797</v>
      </c>
      <c r="V248">
        <v>14.4</v>
      </c>
      <c r="W248">
        <v>0.51</v>
      </c>
      <c r="X248" t="s">
        <v>805</v>
      </c>
      <c r="Y248">
        <v>94.4</v>
      </c>
      <c r="Z248" t="s">
        <v>813</v>
      </c>
      <c r="AA248">
        <v>39.183286779008725</v>
      </c>
      <c r="AB248">
        <v>37.401854197975744</v>
      </c>
      <c r="AC248">
        <v>43.075289384102859</v>
      </c>
      <c r="AD248">
        <v>43.297346349055843</v>
      </c>
      <c r="AE248">
        <v>26.878307938731894</v>
      </c>
      <c r="AF248">
        <v>27.83384483575707</v>
      </c>
      <c r="AG248">
        <v>44.354710994719476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25</v>
      </c>
      <c r="B249" t="s">
        <v>96</v>
      </c>
      <c r="C249">
        <v>241204</v>
      </c>
      <c r="D249" t="s">
        <v>348</v>
      </c>
      <c r="E249" t="s">
        <v>679</v>
      </c>
      <c r="F249" t="s">
        <v>767</v>
      </c>
      <c r="G249">
        <v>1.6850000000000001</v>
      </c>
      <c r="H249">
        <v>61.6</v>
      </c>
      <c r="I249">
        <v>25</v>
      </c>
      <c r="J249">
        <v>36</v>
      </c>
      <c r="K249">
        <v>9.9</v>
      </c>
      <c r="L249">
        <v>50</v>
      </c>
      <c r="M249" t="s">
        <v>784</v>
      </c>
      <c r="N249" t="s">
        <v>787</v>
      </c>
      <c r="O249">
        <v>15.45</v>
      </c>
      <c r="P249">
        <v>175</v>
      </c>
      <c r="Q249">
        <v>172.1</v>
      </c>
      <c r="R249">
        <v>60.6</v>
      </c>
      <c r="S249">
        <v>167.9</v>
      </c>
      <c r="T249">
        <v>0</v>
      </c>
      <c r="U249" t="s">
        <v>796</v>
      </c>
      <c r="V249">
        <v>14.8</v>
      </c>
      <c r="W249">
        <v>0.7</v>
      </c>
      <c r="X249" t="s">
        <v>805</v>
      </c>
      <c r="Y249">
        <v>95.96</v>
      </c>
      <c r="Z249" t="s">
        <v>813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t="s">
        <v>27</v>
      </c>
      <c r="B250" t="s">
        <v>96</v>
      </c>
      <c r="C250">
        <v>241204</v>
      </c>
      <c r="D250" t="s">
        <v>349</v>
      </c>
      <c r="E250" t="s">
        <v>680</v>
      </c>
      <c r="F250" t="s">
        <v>767</v>
      </c>
      <c r="G250">
        <v>1.66</v>
      </c>
      <c r="H250">
        <v>48.3</v>
      </c>
      <c r="I250">
        <v>25.5</v>
      </c>
      <c r="J250">
        <v>31.5</v>
      </c>
      <c r="K250">
        <v>9.6</v>
      </c>
      <c r="L250">
        <v>42.5</v>
      </c>
      <c r="M250" t="s">
        <v>776</v>
      </c>
      <c r="N250" t="s">
        <v>787</v>
      </c>
      <c r="O250">
        <v>14.3</v>
      </c>
      <c r="P250">
        <v>180.1</v>
      </c>
      <c r="Q250">
        <v>174.8</v>
      </c>
      <c r="R250">
        <v>46.9</v>
      </c>
      <c r="S250">
        <v>163.80000000000001</v>
      </c>
      <c r="T250">
        <v>0</v>
      </c>
      <c r="U250" t="s">
        <v>799</v>
      </c>
      <c r="V250">
        <v>14</v>
      </c>
      <c r="W250">
        <v>0.33</v>
      </c>
      <c r="X250" t="s">
        <v>805</v>
      </c>
      <c r="Y250">
        <v>90.93</v>
      </c>
      <c r="Z250" t="s">
        <v>812</v>
      </c>
      <c r="AA250">
        <v>39.309486722959356</v>
      </c>
      <c r="AB250">
        <v>37.23383299223638</v>
      </c>
      <c r="AC250">
        <v>39.652251260250821</v>
      </c>
      <c r="AD250">
        <v>40.828347170532588</v>
      </c>
      <c r="AE250">
        <v>25.747237964281123</v>
      </c>
      <c r="AF250">
        <v>26.876348570708917</v>
      </c>
      <c r="AG250">
        <v>44.791807864637349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 t="s">
        <v>28</v>
      </c>
      <c r="B251" t="s">
        <v>96</v>
      </c>
      <c r="C251">
        <v>241204</v>
      </c>
      <c r="D251" t="s">
        <v>350</v>
      </c>
      <c r="E251" t="s">
        <v>681</v>
      </c>
      <c r="F251" t="s">
        <v>767</v>
      </c>
      <c r="G251">
        <v>1.758</v>
      </c>
      <c r="H251">
        <v>60.6</v>
      </c>
      <c r="I251">
        <v>26</v>
      </c>
      <c r="J251">
        <v>35.299999999999997</v>
      </c>
      <c r="K251">
        <v>10.9</v>
      </c>
      <c r="L251">
        <v>50.9</v>
      </c>
      <c r="M251" t="s">
        <v>782</v>
      </c>
      <c r="N251" t="s">
        <v>787</v>
      </c>
      <c r="O251">
        <v>14.64</v>
      </c>
      <c r="P251">
        <v>186.1</v>
      </c>
      <c r="Q251">
        <v>181.6</v>
      </c>
      <c r="R251">
        <v>61</v>
      </c>
      <c r="S251">
        <v>174.4</v>
      </c>
      <c r="T251">
        <v>0</v>
      </c>
      <c r="U251" t="s">
        <v>799</v>
      </c>
      <c r="V251">
        <v>14.1</v>
      </c>
      <c r="W251">
        <v>0.56000000000000005</v>
      </c>
      <c r="X251" t="s">
        <v>805</v>
      </c>
      <c r="Y251">
        <v>93.71</v>
      </c>
      <c r="Z251" t="s">
        <v>813</v>
      </c>
      <c r="AA251">
        <v>39.889419068119935</v>
      </c>
      <c r="AB251">
        <v>40.327017047450482</v>
      </c>
      <c r="AC251">
        <v>45.462249501469778</v>
      </c>
      <c r="AD251">
        <v>44.891206836320734</v>
      </c>
      <c r="AE251">
        <v>25.639187256954092</v>
      </c>
      <c r="AF251">
        <v>25.720311661317091</v>
      </c>
      <c r="AG251">
        <v>43.290627167316089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 t="s">
        <v>30</v>
      </c>
      <c r="B252" t="s">
        <v>96</v>
      </c>
      <c r="C252">
        <v>241204</v>
      </c>
      <c r="D252" t="s">
        <v>351</v>
      </c>
      <c r="E252" t="s">
        <v>682</v>
      </c>
      <c r="F252" t="s">
        <v>767</v>
      </c>
      <c r="G252">
        <v>1.84</v>
      </c>
      <c r="H252">
        <v>68.099999999999994</v>
      </c>
      <c r="I252">
        <v>25.5</v>
      </c>
      <c r="J252">
        <v>36</v>
      </c>
      <c r="K252">
        <v>10.1</v>
      </c>
      <c r="L252">
        <v>44.5</v>
      </c>
      <c r="M252" t="s">
        <v>783</v>
      </c>
      <c r="N252" t="s">
        <v>787</v>
      </c>
      <c r="O252">
        <v>16.09</v>
      </c>
      <c r="P252">
        <v>184.7</v>
      </c>
      <c r="Q252">
        <v>185.7</v>
      </c>
      <c r="R252">
        <v>65</v>
      </c>
      <c r="S252">
        <v>182.4</v>
      </c>
      <c r="T252">
        <v>0</v>
      </c>
      <c r="U252" t="s">
        <v>796</v>
      </c>
      <c r="V252">
        <v>14.5</v>
      </c>
      <c r="W252">
        <v>1.58</v>
      </c>
      <c r="X252" t="s">
        <v>806</v>
      </c>
      <c r="Y252">
        <v>98.77</v>
      </c>
      <c r="Z252" t="s">
        <v>814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 t="s">
        <v>34</v>
      </c>
      <c r="B253" t="s">
        <v>97</v>
      </c>
      <c r="C253">
        <v>241126</v>
      </c>
      <c r="D253" t="s">
        <v>352</v>
      </c>
      <c r="E253" t="s">
        <v>683</v>
      </c>
      <c r="F253" t="s">
        <v>767</v>
      </c>
      <c r="G253">
        <v>1.704</v>
      </c>
      <c r="H253">
        <v>68.8</v>
      </c>
      <c r="I253">
        <v>27</v>
      </c>
      <c r="J253">
        <v>37</v>
      </c>
      <c r="K253">
        <v>11.2</v>
      </c>
      <c r="L253">
        <v>53.5</v>
      </c>
      <c r="M253" t="s">
        <v>782</v>
      </c>
      <c r="N253" t="s">
        <v>787</v>
      </c>
      <c r="O253">
        <v>15.73</v>
      </c>
      <c r="P253">
        <v>178.2</v>
      </c>
      <c r="Q253">
        <v>174.7</v>
      </c>
      <c r="R253">
        <v>69.3</v>
      </c>
      <c r="S253">
        <v>170.1</v>
      </c>
      <c r="T253">
        <v>0</v>
      </c>
      <c r="U253" t="s">
        <v>797</v>
      </c>
      <c r="V253">
        <v>15.5</v>
      </c>
      <c r="W253">
        <v>0.26</v>
      </c>
      <c r="X253" t="s">
        <v>805</v>
      </c>
      <c r="Y253">
        <v>95.45</v>
      </c>
      <c r="Z253" t="s">
        <v>813</v>
      </c>
      <c r="AA253">
        <v>38.780750319725499</v>
      </c>
      <c r="AB253">
        <v>36.795113668752862</v>
      </c>
      <c r="AC253">
        <v>42.15586429550072</v>
      </c>
      <c r="AD253">
        <v>42.95446411827605</v>
      </c>
      <c r="AE253">
        <v>27.437416496205344</v>
      </c>
      <c r="AF253">
        <v>27.797802362605893</v>
      </c>
      <c r="AG253">
        <v>44.035268177020164</v>
      </c>
      <c r="AH253">
        <v>8.4943164713221933</v>
      </c>
      <c r="AI253">
        <v>0.39584714490513173</v>
      </c>
      <c r="AJ253">
        <v>0.39584714490513173</v>
      </c>
      <c r="AK253">
        <v>5.8379980491415101E-2</v>
      </c>
      <c r="AL253">
        <v>3.3857998062041235</v>
      </c>
    </row>
    <row r="254" spans="1:38">
      <c r="A254" t="s">
        <v>36</v>
      </c>
      <c r="B254" t="s">
        <v>97</v>
      </c>
      <c r="C254">
        <v>241126</v>
      </c>
      <c r="D254" t="s">
        <v>353</v>
      </c>
      <c r="E254" t="s">
        <v>684</v>
      </c>
      <c r="F254" t="s">
        <v>767</v>
      </c>
      <c r="G254">
        <v>1.706</v>
      </c>
      <c r="H254">
        <v>61</v>
      </c>
      <c r="I254">
        <v>23.2</v>
      </c>
      <c r="J254">
        <v>33.5</v>
      </c>
      <c r="K254">
        <v>10</v>
      </c>
      <c r="L254">
        <v>53</v>
      </c>
      <c r="M254" t="s">
        <v>777</v>
      </c>
      <c r="N254" t="s">
        <v>788</v>
      </c>
      <c r="O254">
        <v>15.57</v>
      </c>
      <c r="P254">
        <v>182.1</v>
      </c>
      <c r="Q254">
        <v>181.4</v>
      </c>
      <c r="R254">
        <v>62.7</v>
      </c>
      <c r="S254">
        <v>171.4</v>
      </c>
      <c r="T254">
        <v>0</v>
      </c>
      <c r="U254" t="s">
        <v>799</v>
      </c>
      <c r="V254">
        <v>15</v>
      </c>
      <c r="W254">
        <v>0.61</v>
      </c>
      <c r="X254" t="s">
        <v>805</v>
      </c>
      <c r="Y254">
        <v>94.12</v>
      </c>
      <c r="Z254" t="s">
        <v>813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 t="s">
        <v>37</v>
      </c>
      <c r="B255" t="s">
        <v>97</v>
      </c>
      <c r="C255">
        <v>241126</v>
      </c>
      <c r="D255" t="s">
        <v>354</v>
      </c>
      <c r="E255" t="s">
        <v>685</v>
      </c>
      <c r="F255" t="s">
        <v>767</v>
      </c>
      <c r="G255">
        <v>1.726</v>
      </c>
      <c r="H255">
        <v>60</v>
      </c>
      <c r="I255">
        <v>24</v>
      </c>
      <c r="J255">
        <v>34</v>
      </c>
      <c r="K255">
        <v>9.9</v>
      </c>
      <c r="L255">
        <v>49.6</v>
      </c>
      <c r="M255" t="s">
        <v>780</v>
      </c>
      <c r="N255" t="s">
        <v>787</v>
      </c>
      <c r="O255">
        <v>15.44</v>
      </c>
      <c r="P255">
        <v>180</v>
      </c>
      <c r="Q255">
        <v>178.3</v>
      </c>
      <c r="R255">
        <v>60.2</v>
      </c>
      <c r="S255">
        <v>173.6</v>
      </c>
      <c r="T255">
        <v>0</v>
      </c>
      <c r="U255" t="s">
        <v>799</v>
      </c>
      <c r="V255">
        <v>15</v>
      </c>
      <c r="W255">
        <v>0.47</v>
      </c>
      <c r="X255" t="s">
        <v>805</v>
      </c>
      <c r="Y255">
        <v>96.44</v>
      </c>
      <c r="Z255" t="s">
        <v>813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 t="s">
        <v>41</v>
      </c>
      <c r="B256" t="s">
        <v>97</v>
      </c>
      <c r="C256">
        <v>241126</v>
      </c>
      <c r="D256" t="s">
        <v>355</v>
      </c>
      <c r="E256" t="s">
        <v>686</v>
      </c>
      <c r="F256" t="s">
        <v>767</v>
      </c>
      <c r="G256">
        <v>1.7350000000000001</v>
      </c>
      <c r="H256">
        <v>69.099999999999994</v>
      </c>
      <c r="I256">
        <v>24.5</v>
      </c>
      <c r="J256">
        <v>37</v>
      </c>
      <c r="K256">
        <v>10.3</v>
      </c>
      <c r="L256">
        <v>54.2</v>
      </c>
      <c r="M256" t="s">
        <v>778</v>
      </c>
      <c r="N256" t="s">
        <v>788</v>
      </c>
      <c r="O256">
        <v>16.16</v>
      </c>
      <c r="P256">
        <v>177.3</v>
      </c>
      <c r="Q256">
        <v>175.6</v>
      </c>
      <c r="R256">
        <v>68.900000000000006</v>
      </c>
      <c r="S256">
        <v>173</v>
      </c>
      <c r="T256">
        <v>0</v>
      </c>
      <c r="U256" t="s">
        <v>796</v>
      </c>
      <c r="V256">
        <v>15.8</v>
      </c>
      <c r="W256">
        <v>0.4</v>
      </c>
      <c r="X256" t="s">
        <v>805</v>
      </c>
      <c r="Y256">
        <v>97.57</v>
      </c>
      <c r="Z256" t="s">
        <v>814</v>
      </c>
      <c r="AA256">
        <v>41.971484876661961</v>
      </c>
      <c r="AB256">
        <v>39.267944449165235</v>
      </c>
      <c r="AC256">
        <v>39.283386763235811</v>
      </c>
      <c r="AD256">
        <v>40.892560572759052</v>
      </c>
      <c r="AE256">
        <v>26.566500218704704</v>
      </c>
      <c r="AF256">
        <v>27.478066359997921</v>
      </c>
      <c r="AG256">
        <v>46.340985820727163</v>
      </c>
      <c r="AH256">
        <v>8.5313556419820262</v>
      </c>
      <c r="AI256">
        <v>0.43715700483358311</v>
      </c>
      <c r="AJ256">
        <v>0.43715700483358311</v>
      </c>
      <c r="AK256">
        <v>4.6280617944059584E-2</v>
      </c>
      <c r="AL256">
        <v>3.4005634681497803</v>
      </c>
    </row>
    <row r="257" spans="1:38">
      <c r="A257" t="s">
        <v>42</v>
      </c>
      <c r="B257" t="s">
        <v>97</v>
      </c>
      <c r="C257">
        <v>241126</v>
      </c>
      <c r="D257" t="s">
        <v>356</v>
      </c>
      <c r="E257" t="s">
        <v>687</v>
      </c>
      <c r="F257" t="s">
        <v>767</v>
      </c>
      <c r="G257">
        <v>1.591</v>
      </c>
      <c r="H257">
        <v>45.5</v>
      </c>
      <c r="I257">
        <v>22.2</v>
      </c>
      <c r="J257">
        <v>30.4</v>
      </c>
      <c r="K257">
        <v>9.6999999999999993</v>
      </c>
      <c r="L257">
        <v>45.3</v>
      </c>
      <c r="M257" t="s">
        <v>782</v>
      </c>
      <c r="N257" t="s">
        <v>788</v>
      </c>
      <c r="O257">
        <v>13.46</v>
      </c>
      <c r="P257">
        <v>175.2</v>
      </c>
      <c r="Q257">
        <v>0</v>
      </c>
      <c r="R257">
        <v>45.2</v>
      </c>
      <c r="S257">
        <v>159.6</v>
      </c>
      <c r="T257">
        <v>0</v>
      </c>
      <c r="U257" t="s">
        <v>796</v>
      </c>
      <c r="V257">
        <v>15.7</v>
      </c>
      <c r="W257">
        <v>-2.2200000000000002</v>
      </c>
      <c r="X257" t="s">
        <v>807</v>
      </c>
      <c r="Y257">
        <v>91.1</v>
      </c>
      <c r="Z257" t="s">
        <v>812</v>
      </c>
      <c r="AA257">
        <v>36.224488414095582</v>
      </c>
      <c r="AB257">
        <v>36.349626925287659</v>
      </c>
      <c r="AC257">
        <v>37.739258221506539</v>
      </c>
      <c r="AD257">
        <v>37.516737432679534</v>
      </c>
      <c r="AE257">
        <v>24.745930175013783</v>
      </c>
      <c r="AF257">
        <v>24.57163047345318</v>
      </c>
      <c r="AG257">
        <v>41.292332877344272</v>
      </c>
      <c r="AH257">
        <v>5.6176075500749967</v>
      </c>
      <c r="AI257">
        <v>0.23589941714299889</v>
      </c>
      <c r="AJ257">
        <v>0.23589941714299889</v>
      </c>
      <c r="AK257">
        <v>2.401254660883425E-2</v>
      </c>
      <c r="AL257">
        <v>2.2391553950913896</v>
      </c>
    </row>
    <row r="258" spans="1:38">
      <c r="A258" t="s">
        <v>43</v>
      </c>
      <c r="B258" t="s">
        <v>97</v>
      </c>
      <c r="C258">
        <v>241126</v>
      </c>
      <c r="D258" t="s">
        <v>357</v>
      </c>
      <c r="E258" t="s">
        <v>688</v>
      </c>
      <c r="F258" t="s">
        <v>767</v>
      </c>
      <c r="G258">
        <v>1.764</v>
      </c>
      <c r="H258">
        <v>62.6</v>
      </c>
      <c r="I258">
        <v>23.5</v>
      </c>
      <c r="J258">
        <v>35.6</v>
      </c>
      <c r="K258">
        <v>10.5</v>
      </c>
      <c r="L258">
        <v>52</v>
      </c>
      <c r="M258" t="s">
        <v>783</v>
      </c>
      <c r="N258" t="s">
        <v>787</v>
      </c>
      <c r="O258">
        <v>15.93</v>
      </c>
      <c r="P258">
        <v>181.2</v>
      </c>
      <c r="Q258">
        <v>180.2</v>
      </c>
      <c r="R258">
        <v>62.7</v>
      </c>
      <c r="S258">
        <v>177.4</v>
      </c>
      <c r="T258">
        <v>0</v>
      </c>
      <c r="U258" t="s">
        <v>796</v>
      </c>
      <c r="V258">
        <v>15.7</v>
      </c>
      <c r="W258">
        <v>0.21</v>
      </c>
      <c r="X258" t="s">
        <v>805</v>
      </c>
      <c r="Y258">
        <v>97.9</v>
      </c>
      <c r="Z258" t="s">
        <v>814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 t="s">
        <v>44</v>
      </c>
      <c r="B259" t="s">
        <v>97</v>
      </c>
      <c r="C259">
        <v>241126</v>
      </c>
      <c r="D259" t="s">
        <v>358</v>
      </c>
      <c r="E259" t="s">
        <v>689</v>
      </c>
      <c r="F259" t="s">
        <v>767</v>
      </c>
      <c r="G259">
        <v>1.7930000000000001</v>
      </c>
      <c r="H259">
        <v>68.3</v>
      </c>
      <c r="I259">
        <v>25</v>
      </c>
      <c r="J259">
        <v>35.6</v>
      </c>
      <c r="K259">
        <v>10.8</v>
      </c>
      <c r="L259">
        <v>53.8</v>
      </c>
      <c r="M259" t="s">
        <v>784</v>
      </c>
      <c r="N259" t="s">
        <v>787</v>
      </c>
      <c r="O259">
        <v>16.75</v>
      </c>
      <c r="P259">
        <v>181.1</v>
      </c>
      <c r="Q259">
        <v>182</v>
      </c>
      <c r="R259">
        <v>68.900000000000006</v>
      </c>
      <c r="S259">
        <v>180</v>
      </c>
      <c r="T259">
        <v>0</v>
      </c>
      <c r="U259" t="s">
        <v>796</v>
      </c>
      <c r="V259">
        <v>15.8</v>
      </c>
      <c r="W259">
        <v>0.96</v>
      </c>
      <c r="X259" t="s">
        <v>805</v>
      </c>
      <c r="Y259">
        <v>99.39</v>
      </c>
      <c r="Z259" t="s">
        <v>814</v>
      </c>
      <c r="AA259">
        <v>41.85191320111467</v>
      </c>
      <c r="AB259">
        <v>39.668945353154633</v>
      </c>
      <c r="AC259">
        <v>39.493996436652083</v>
      </c>
      <c r="AD259">
        <v>40.621932812680093</v>
      </c>
      <c r="AE259">
        <v>28.515886677405167</v>
      </c>
      <c r="AF259">
        <v>27.973969594399257</v>
      </c>
      <c r="AG259">
        <v>49.169721470328582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 t="s">
        <v>46</v>
      </c>
      <c r="B260" t="s">
        <v>98</v>
      </c>
      <c r="C260">
        <v>241203</v>
      </c>
      <c r="D260" t="s">
        <v>359</v>
      </c>
      <c r="E260" t="s">
        <v>690</v>
      </c>
      <c r="F260" t="s">
        <v>767</v>
      </c>
      <c r="G260">
        <v>1.804</v>
      </c>
      <c r="H260">
        <v>70.3</v>
      </c>
      <c r="I260">
        <v>25.5</v>
      </c>
      <c r="J260">
        <v>35.4</v>
      </c>
      <c r="K260">
        <v>9.8000000000000007</v>
      </c>
      <c r="L260">
        <v>53.6</v>
      </c>
      <c r="M260" t="s">
        <v>781</v>
      </c>
      <c r="N260" t="s">
        <v>787</v>
      </c>
      <c r="O260">
        <v>17.23</v>
      </c>
      <c r="P260">
        <v>181.9</v>
      </c>
      <c r="Q260">
        <v>181.3</v>
      </c>
      <c r="R260">
        <v>70.3</v>
      </c>
      <c r="S260">
        <v>180.4</v>
      </c>
      <c r="T260">
        <v>0</v>
      </c>
      <c r="U260" t="s">
        <v>797</v>
      </c>
      <c r="V260">
        <v>16.600000000000001</v>
      </c>
      <c r="W260">
        <v>0.66</v>
      </c>
      <c r="X260" t="s">
        <v>805</v>
      </c>
      <c r="Y260">
        <v>99.18</v>
      </c>
      <c r="Z260" t="s">
        <v>814</v>
      </c>
      <c r="AA260">
        <v>42.476095051388874</v>
      </c>
      <c r="AB260">
        <v>39.64405793932854</v>
      </c>
      <c r="AC260">
        <v>40.868472687553812</v>
      </c>
      <c r="AD260">
        <v>41.84098264484539</v>
      </c>
      <c r="AE260">
        <v>27.406374131861764</v>
      </c>
      <c r="AF260">
        <v>27.000207825287294</v>
      </c>
      <c r="AG260">
        <v>47.961749380083106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 t="s">
        <v>47</v>
      </c>
      <c r="B261" t="s">
        <v>98</v>
      </c>
      <c r="C261">
        <v>241203</v>
      </c>
      <c r="D261" t="s">
        <v>360</v>
      </c>
      <c r="E261" t="s">
        <v>691</v>
      </c>
      <c r="F261" t="s">
        <v>767</v>
      </c>
      <c r="G261">
        <v>1.95</v>
      </c>
      <c r="H261">
        <v>81.900000000000006</v>
      </c>
      <c r="I261">
        <v>29.5</v>
      </c>
      <c r="J261">
        <v>38</v>
      </c>
      <c r="K261">
        <v>11.3</v>
      </c>
      <c r="L261">
        <v>56</v>
      </c>
      <c r="M261" t="s">
        <v>776</v>
      </c>
      <c r="N261" t="s">
        <v>787</v>
      </c>
      <c r="O261">
        <v>17.8</v>
      </c>
      <c r="P261">
        <v>193</v>
      </c>
      <c r="Q261">
        <v>0</v>
      </c>
      <c r="R261">
        <v>81.900000000000006</v>
      </c>
      <c r="S261">
        <v>193</v>
      </c>
      <c r="T261">
        <v>0</v>
      </c>
      <c r="U261" t="s">
        <v>796</v>
      </c>
      <c r="V261">
        <v>16.8</v>
      </c>
      <c r="W261">
        <v>0.97</v>
      </c>
      <c r="X261" t="s">
        <v>805</v>
      </c>
      <c r="Y261">
        <v>100</v>
      </c>
      <c r="Z261" t="s">
        <v>814</v>
      </c>
      <c r="AA261">
        <v>42.258695926924823</v>
      </c>
      <c r="AB261">
        <v>40.30253947219822</v>
      </c>
      <c r="AC261">
        <v>49.208625627585214</v>
      </c>
      <c r="AD261">
        <v>49.052793186133513</v>
      </c>
      <c r="AE261">
        <v>30.612842983732964</v>
      </c>
      <c r="AF261">
        <v>29.390974184623701</v>
      </c>
      <c r="AG261">
        <v>49.828791645010256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 t="s">
        <v>48</v>
      </c>
      <c r="B262" t="s">
        <v>98</v>
      </c>
      <c r="C262">
        <v>241203</v>
      </c>
      <c r="D262" t="s">
        <v>361</v>
      </c>
      <c r="E262" t="s">
        <v>692</v>
      </c>
      <c r="F262" t="s">
        <v>767</v>
      </c>
      <c r="G262">
        <v>1.67</v>
      </c>
      <c r="H262">
        <v>57</v>
      </c>
      <c r="I262">
        <v>23</v>
      </c>
      <c r="J262">
        <v>31.5</v>
      </c>
      <c r="K262">
        <v>9.1999999999999993</v>
      </c>
      <c r="L262">
        <v>46</v>
      </c>
      <c r="M262" t="s">
        <v>783</v>
      </c>
      <c r="N262" t="s">
        <v>788</v>
      </c>
      <c r="O262">
        <v>15.44</v>
      </c>
      <c r="P262">
        <v>174.2</v>
      </c>
      <c r="Q262">
        <v>0</v>
      </c>
      <c r="R262">
        <v>57</v>
      </c>
      <c r="S262">
        <v>167</v>
      </c>
      <c r="T262">
        <v>0</v>
      </c>
      <c r="U262" t="s">
        <v>796</v>
      </c>
      <c r="V262">
        <v>16.8</v>
      </c>
      <c r="W262">
        <v>-1.34</v>
      </c>
      <c r="X262" t="s">
        <v>808</v>
      </c>
      <c r="Y262">
        <v>95.87</v>
      </c>
      <c r="Z262" t="s">
        <v>813</v>
      </c>
      <c r="AA262">
        <v>38.605068244816664</v>
      </c>
      <c r="AB262">
        <v>37.026294345477112</v>
      </c>
      <c r="AC262">
        <v>39.021626118985196</v>
      </c>
      <c r="AD262">
        <v>39.003201499109892</v>
      </c>
      <c r="AE262">
        <v>26.790666914207094</v>
      </c>
      <c r="AF262">
        <v>25.069120184546872</v>
      </c>
      <c r="AG262">
        <v>41.961646615839193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 t="s">
        <v>50</v>
      </c>
      <c r="B263" t="s">
        <v>98</v>
      </c>
      <c r="C263">
        <v>241203</v>
      </c>
      <c r="D263" t="s">
        <v>362</v>
      </c>
      <c r="E263" t="s">
        <v>693</v>
      </c>
      <c r="F263" t="s">
        <v>767</v>
      </c>
      <c r="G263">
        <v>1.77</v>
      </c>
      <c r="H263">
        <v>71.400000000000006</v>
      </c>
      <c r="I263">
        <v>25</v>
      </c>
      <c r="J263">
        <v>38.299999999999997</v>
      </c>
      <c r="K263">
        <v>10.5</v>
      </c>
      <c r="L263">
        <v>55.7</v>
      </c>
      <c r="M263" t="s">
        <v>784</v>
      </c>
      <c r="N263" t="s">
        <v>787</v>
      </c>
      <c r="O263">
        <v>16.79</v>
      </c>
      <c r="P263">
        <v>180.1</v>
      </c>
      <c r="Q263">
        <v>179</v>
      </c>
      <c r="R263">
        <v>71.400000000000006</v>
      </c>
      <c r="S263">
        <v>177</v>
      </c>
      <c r="T263">
        <v>0</v>
      </c>
      <c r="U263" t="s">
        <v>796</v>
      </c>
      <c r="V263">
        <v>16.899999999999999</v>
      </c>
      <c r="W263">
        <v>-7.0000000000000007E-2</v>
      </c>
      <c r="X263" t="s">
        <v>805</v>
      </c>
      <c r="Y263">
        <v>98.28</v>
      </c>
      <c r="Z263" t="s">
        <v>814</v>
      </c>
      <c r="AA263">
        <v>43.084459228078416</v>
      </c>
      <c r="AB263">
        <v>41.904297080300772</v>
      </c>
      <c r="AC263">
        <v>40.473045450340223</v>
      </c>
      <c r="AD263">
        <v>40.821779410434935</v>
      </c>
      <c r="AE263">
        <v>25.16977453247269</v>
      </c>
      <c r="AF263">
        <v>25.467240784865989</v>
      </c>
      <c r="AG263">
        <v>44.661103663744086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t="s">
        <v>51</v>
      </c>
      <c r="B264" t="s">
        <v>98</v>
      </c>
      <c r="C264">
        <v>241203</v>
      </c>
      <c r="D264" t="s">
        <v>363</v>
      </c>
      <c r="E264" t="s">
        <v>694</v>
      </c>
      <c r="F264" t="s">
        <v>767</v>
      </c>
      <c r="G264">
        <v>1.8149999999999999</v>
      </c>
      <c r="H264">
        <v>75.5</v>
      </c>
      <c r="I264">
        <v>25</v>
      </c>
      <c r="J264">
        <v>37</v>
      </c>
      <c r="K264">
        <v>11.2</v>
      </c>
      <c r="L264">
        <v>55.4</v>
      </c>
      <c r="M264" t="s">
        <v>780</v>
      </c>
      <c r="N264" t="s">
        <v>787</v>
      </c>
      <c r="O264">
        <v>17.059999999999999</v>
      </c>
      <c r="P264">
        <v>184.1</v>
      </c>
      <c r="Q264">
        <v>183.7</v>
      </c>
      <c r="R264">
        <v>75.5</v>
      </c>
      <c r="S264">
        <v>181.5</v>
      </c>
      <c r="T264">
        <v>0</v>
      </c>
      <c r="U264" t="s">
        <v>797</v>
      </c>
      <c r="V264">
        <v>16.600000000000001</v>
      </c>
      <c r="W264">
        <v>0.47</v>
      </c>
      <c r="X264" t="s">
        <v>805</v>
      </c>
      <c r="Y264">
        <v>98.59</v>
      </c>
      <c r="Z264" t="s">
        <v>814</v>
      </c>
      <c r="AA264">
        <v>41.998179448312364</v>
      </c>
      <c r="AB264">
        <v>44.327905273622768</v>
      </c>
      <c r="AC264">
        <v>46.043452727314019</v>
      </c>
      <c r="AD264">
        <v>43.164561417027336</v>
      </c>
      <c r="AE264">
        <v>27.183722794533622</v>
      </c>
      <c r="AF264">
        <v>27.653354556941999</v>
      </c>
      <c r="AG264">
        <v>48.697657374203082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 t="s">
        <v>52</v>
      </c>
      <c r="B265" t="s">
        <v>97</v>
      </c>
      <c r="C265">
        <v>241126</v>
      </c>
      <c r="D265" t="s">
        <v>364</v>
      </c>
      <c r="E265" t="s">
        <v>695</v>
      </c>
      <c r="F265" t="s">
        <v>767</v>
      </c>
      <c r="G265">
        <v>1.794</v>
      </c>
      <c r="H265">
        <v>74</v>
      </c>
      <c r="I265">
        <v>25.3</v>
      </c>
      <c r="J265">
        <v>39</v>
      </c>
      <c r="K265">
        <v>10.8</v>
      </c>
      <c r="L265">
        <v>54.3</v>
      </c>
      <c r="M265" t="s">
        <v>780</v>
      </c>
      <c r="N265" t="s">
        <v>787</v>
      </c>
      <c r="O265">
        <v>16.18</v>
      </c>
      <c r="P265">
        <v>182.2</v>
      </c>
      <c r="Q265">
        <v>181.7</v>
      </c>
      <c r="R265">
        <v>72.599999999999994</v>
      </c>
      <c r="S265">
        <v>178.6</v>
      </c>
      <c r="T265">
        <v>0</v>
      </c>
      <c r="U265" t="s">
        <v>797</v>
      </c>
      <c r="V265">
        <v>15.5</v>
      </c>
      <c r="W265">
        <v>0.65</v>
      </c>
      <c r="X265" t="s">
        <v>805</v>
      </c>
      <c r="Y265">
        <v>98.02</v>
      </c>
      <c r="Z265" t="s">
        <v>814</v>
      </c>
      <c r="AA265">
        <v>42.936055678746328</v>
      </c>
      <c r="AB265">
        <v>40.599503287884858</v>
      </c>
      <c r="AC265">
        <v>42.651988003521176</v>
      </c>
      <c r="AD265">
        <v>42.693814004232863</v>
      </c>
      <c r="AE265">
        <v>28.409091655056706</v>
      </c>
      <c r="AF265">
        <v>28.189429155236837</v>
      </c>
      <c r="AG265">
        <v>46.920316464959122</v>
      </c>
      <c r="AH265">
        <v>9.1363287627593355</v>
      </c>
      <c r="AI265">
        <v>0.4751391849350789</v>
      </c>
      <c r="AJ265">
        <v>0.4751391849350789</v>
      </c>
      <c r="AK265">
        <v>4.7260881137846565E-2</v>
      </c>
      <c r="AL265">
        <v>3.6417032799288536</v>
      </c>
    </row>
    <row r="266" spans="1:38">
      <c r="A266" t="s">
        <v>57</v>
      </c>
      <c r="B266" t="s">
        <v>96</v>
      </c>
      <c r="C266">
        <v>241204</v>
      </c>
      <c r="D266" t="s">
        <v>365</v>
      </c>
      <c r="E266" t="s">
        <v>696</v>
      </c>
      <c r="F266" t="s">
        <v>767</v>
      </c>
      <c r="G266">
        <v>1.694</v>
      </c>
      <c r="H266">
        <v>75.599999999999994</v>
      </c>
      <c r="I266">
        <v>27.4</v>
      </c>
      <c r="J266">
        <v>37.4</v>
      </c>
      <c r="K266">
        <v>11.1</v>
      </c>
      <c r="L266">
        <v>57</v>
      </c>
      <c r="M266" t="s">
        <v>780</v>
      </c>
      <c r="N266" t="s">
        <v>788</v>
      </c>
      <c r="O266">
        <v>16.47</v>
      </c>
      <c r="P266">
        <v>179.4</v>
      </c>
      <c r="Q266">
        <v>180.7</v>
      </c>
      <c r="R266">
        <v>74.8</v>
      </c>
      <c r="S266">
        <v>178.1</v>
      </c>
      <c r="T266">
        <v>0</v>
      </c>
      <c r="U266" t="s">
        <v>796</v>
      </c>
      <c r="V266">
        <v>14.7</v>
      </c>
      <c r="W266">
        <v>1.78</v>
      </c>
      <c r="X266" t="s">
        <v>806</v>
      </c>
      <c r="Y266">
        <v>99.25</v>
      </c>
      <c r="Z266" t="s">
        <v>814</v>
      </c>
      <c r="AA266">
        <v>36.110606853958394</v>
      </c>
      <c r="AB266">
        <v>35.365472685860524</v>
      </c>
      <c r="AC266">
        <v>42.294329632810459</v>
      </c>
      <c r="AD266">
        <v>43.458279252687511</v>
      </c>
      <c r="AE266">
        <v>28.028401183961925</v>
      </c>
      <c r="AF266">
        <v>27.878241170105696</v>
      </c>
      <c r="AG266">
        <v>49.073048029959146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 t="s">
        <v>59</v>
      </c>
      <c r="B267" t="s">
        <v>95</v>
      </c>
      <c r="C267">
        <v>241203</v>
      </c>
      <c r="D267" t="s">
        <v>366</v>
      </c>
      <c r="E267" t="s">
        <v>697</v>
      </c>
      <c r="F267" t="s">
        <v>767</v>
      </c>
      <c r="G267">
        <v>1.4680000000000002</v>
      </c>
      <c r="H267">
        <v>39.200000000000003</v>
      </c>
      <c r="I267">
        <v>21.5</v>
      </c>
      <c r="J267">
        <v>31</v>
      </c>
      <c r="K267">
        <v>9</v>
      </c>
      <c r="L267">
        <v>38</v>
      </c>
      <c r="M267" t="s">
        <v>783</v>
      </c>
      <c r="N267" t="s">
        <v>787</v>
      </c>
      <c r="O267">
        <v>11.38</v>
      </c>
      <c r="P267">
        <v>174.2</v>
      </c>
      <c r="Q267">
        <v>175.5</v>
      </c>
      <c r="R267">
        <v>39.799999999999997</v>
      </c>
      <c r="S267">
        <v>146.19999999999999</v>
      </c>
      <c r="T267">
        <v>0</v>
      </c>
      <c r="U267" t="s">
        <v>798</v>
      </c>
      <c r="V267">
        <v>13.3</v>
      </c>
      <c r="W267">
        <v>-1.88</v>
      </c>
      <c r="X267" t="s">
        <v>808</v>
      </c>
      <c r="Y267">
        <v>83.93</v>
      </c>
      <c r="Z267" t="s">
        <v>811</v>
      </c>
      <c r="AA267">
        <v>32.663474905368332</v>
      </c>
      <c r="AB267">
        <v>32.1082944109693</v>
      </c>
      <c r="AC267">
        <v>35.143621968931754</v>
      </c>
      <c r="AD267">
        <v>35.351030106183657</v>
      </c>
      <c r="AE267">
        <v>21.800561830355853</v>
      </c>
      <c r="AF267">
        <v>22.842898315465163</v>
      </c>
      <c r="AG267">
        <v>36.996752378370616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 t="s">
        <v>60</v>
      </c>
      <c r="B268" t="s">
        <v>95</v>
      </c>
      <c r="C268">
        <v>241203</v>
      </c>
      <c r="D268" t="s">
        <v>367</v>
      </c>
      <c r="E268" t="s">
        <v>698</v>
      </c>
      <c r="F268" t="s">
        <v>767</v>
      </c>
      <c r="G268">
        <v>1.6469999999999998</v>
      </c>
      <c r="H268">
        <v>47.3</v>
      </c>
      <c r="I268">
        <v>24.2</v>
      </c>
      <c r="J268">
        <v>31.7</v>
      </c>
      <c r="K268">
        <v>10</v>
      </c>
      <c r="L268">
        <v>43.9</v>
      </c>
      <c r="M268" t="s">
        <v>782</v>
      </c>
      <c r="N268" t="s">
        <v>787</v>
      </c>
      <c r="O268">
        <v>13.9</v>
      </c>
      <c r="P268">
        <v>181.1</v>
      </c>
      <c r="Q268">
        <v>175.8</v>
      </c>
      <c r="R268">
        <v>46.8</v>
      </c>
      <c r="S268">
        <v>162.9</v>
      </c>
      <c r="T268">
        <v>0</v>
      </c>
      <c r="U268" t="s">
        <v>796</v>
      </c>
      <c r="V268">
        <v>13.8</v>
      </c>
      <c r="W268">
        <v>7.0000000000000007E-2</v>
      </c>
      <c r="X268" t="s">
        <v>805</v>
      </c>
      <c r="Y268">
        <v>89.95</v>
      </c>
      <c r="Z268" t="s">
        <v>812</v>
      </c>
      <c r="AA268">
        <v>35.420675046388695</v>
      </c>
      <c r="AB268">
        <v>33.215552187174829</v>
      </c>
      <c r="AC268">
        <v>39.139487318907641</v>
      </c>
      <c r="AD268">
        <v>40.23533648468289</v>
      </c>
      <c r="AE268">
        <v>26.20334626985121</v>
      </c>
      <c r="AF268">
        <v>26.981084525453447</v>
      </c>
      <c r="AG268">
        <v>38.931462807393444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 t="s">
        <v>61</v>
      </c>
      <c r="B269" t="s">
        <v>95</v>
      </c>
      <c r="C269">
        <v>241203</v>
      </c>
      <c r="D269" t="s">
        <v>368</v>
      </c>
      <c r="E269" t="s">
        <v>699</v>
      </c>
      <c r="F269" t="s">
        <v>767</v>
      </c>
      <c r="G269">
        <v>1.6580000000000001</v>
      </c>
      <c r="H269">
        <v>61</v>
      </c>
      <c r="I269">
        <v>25.3</v>
      </c>
      <c r="J269">
        <v>35.299999999999997</v>
      </c>
      <c r="K269">
        <v>10.6</v>
      </c>
      <c r="L269">
        <v>57</v>
      </c>
      <c r="M269" t="s">
        <v>777</v>
      </c>
      <c r="N269" t="s">
        <v>788</v>
      </c>
      <c r="O269">
        <v>14.81</v>
      </c>
      <c r="P269">
        <v>181.2</v>
      </c>
      <c r="Q269">
        <v>177.1</v>
      </c>
      <c r="R269">
        <v>63</v>
      </c>
      <c r="S269">
        <v>167</v>
      </c>
      <c r="T269">
        <v>0</v>
      </c>
      <c r="U269" t="s">
        <v>796</v>
      </c>
      <c r="V269">
        <v>13.8</v>
      </c>
      <c r="W269">
        <v>1.01</v>
      </c>
      <c r="X269" t="s">
        <v>806</v>
      </c>
      <c r="Y269">
        <v>92.16</v>
      </c>
      <c r="Z269" t="s">
        <v>812</v>
      </c>
      <c r="AA269">
        <v>36.319839083332269</v>
      </c>
      <c r="AB269">
        <v>36.313703334290196</v>
      </c>
      <c r="AC269">
        <v>38.068619181613002</v>
      </c>
      <c r="AD269">
        <v>38.234118430313742</v>
      </c>
      <c r="AE269">
        <v>24.679062519737563</v>
      </c>
      <c r="AF269">
        <v>25.013143910364182</v>
      </c>
      <c r="AG269">
        <v>47.644288251102623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 t="s">
        <v>63</v>
      </c>
      <c r="B270" t="s">
        <v>98</v>
      </c>
      <c r="C270">
        <v>241203</v>
      </c>
      <c r="D270" t="s">
        <v>369</v>
      </c>
      <c r="E270" t="s">
        <v>700</v>
      </c>
      <c r="F270" t="s">
        <v>767</v>
      </c>
      <c r="G270">
        <v>1.7549999999999999</v>
      </c>
      <c r="H270">
        <v>69.099999999999994</v>
      </c>
      <c r="I270">
        <v>25</v>
      </c>
      <c r="J270">
        <v>36</v>
      </c>
      <c r="K270">
        <v>9.4</v>
      </c>
      <c r="L270">
        <v>51.2</v>
      </c>
      <c r="M270" t="s">
        <v>778</v>
      </c>
      <c r="N270" t="s">
        <v>787</v>
      </c>
      <c r="O270">
        <v>16.71</v>
      </c>
      <c r="P270">
        <v>179.4</v>
      </c>
      <c r="Q270">
        <v>178</v>
      </c>
      <c r="R270">
        <v>69.099999999999994</v>
      </c>
      <c r="S270">
        <v>175.5</v>
      </c>
      <c r="T270">
        <v>0</v>
      </c>
      <c r="U270" t="s">
        <v>796</v>
      </c>
      <c r="V270">
        <v>16.899999999999999</v>
      </c>
      <c r="W270">
        <v>-0.18</v>
      </c>
      <c r="X270" t="s">
        <v>805</v>
      </c>
      <c r="Y270">
        <v>97.83</v>
      </c>
      <c r="Z270" t="s">
        <v>814</v>
      </c>
      <c r="AA270">
        <v>38.950125556636849</v>
      </c>
      <c r="AB270">
        <v>40.221324252800258</v>
      </c>
      <c r="AC270">
        <v>40.481913403492186</v>
      </c>
      <c r="AD270">
        <v>40.021438111811591</v>
      </c>
      <c r="AE270">
        <v>26.851169701603812</v>
      </c>
      <c r="AF270">
        <v>26.47115256042785</v>
      </c>
      <c r="AG270">
        <v>46.212201731441141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 t="s">
        <v>64</v>
      </c>
      <c r="B271" t="s">
        <v>98</v>
      </c>
      <c r="C271">
        <v>241203</v>
      </c>
      <c r="D271" t="s">
        <v>370</v>
      </c>
      <c r="E271" t="s">
        <v>701</v>
      </c>
      <c r="F271" t="s">
        <v>767</v>
      </c>
      <c r="G271">
        <v>1.69</v>
      </c>
      <c r="H271">
        <v>57.3</v>
      </c>
      <c r="I271">
        <v>26</v>
      </c>
      <c r="J271">
        <v>34</v>
      </c>
      <c r="K271">
        <v>9.5</v>
      </c>
      <c r="L271">
        <v>47.5</v>
      </c>
      <c r="M271" t="s">
        <v>782</v>
      </c>
      <c r="N271" t="s">
        <v>787</v>
      </c>
      <c r="O271">
        <v>15.31</v>
      </c>
      <c r="P271">
        <v>176.3</v>
      </c>
      <c r="Q271">
        <v>0</v>
      </c>
      <c r="R271">
        <v>57.3</v>
      </c>
      <c r="S271">
        <v>169</v>
      </c>
      <c r="T271">
        <v>0</v>
      </c>
      <c r="U271" t="s">
        <v>796</v>
      </c>
      <c r="V271">
        <v>16.8</v>
      </c>
      <c r="W271">
        <v>-1.48</v>
      </c>
      <c r="X271" t="s">
        <v>808</v>
      </c>
      <c r="Y271">
        <v>95.86</v>
      </c>
      <c r="Z271" t="s">
        <v>813</v>
      </c>
      <c r="AA271">
        <v>40.399781919347262</v>
      </c>
      <c r="AB271">
        <v>38.925342233998421</v>
      </c>
      <c r="AC271">
        <v>41.045002155598887</v>
      </c>
      <c r="AD271">
        <v>39.814432174342727</v>
      </c>
      <c r="AE271">
        <v>27.369099520153394</v>
      </c>
      <c r="AF271">
        <v>26.274849584670854</v>
      </c>
      <c r="AG271">
        <v>44.679476357958585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 t="s">
        <v>68</v>
      </c>
      <c r="B272" t="s">
        <v>98</v>
      </c>
      <c r="C272">
        <v>241203</v>
      </c>
      <c r="D272" t="s">
        <v>371</v>
      </c>
      <c r="E272" t="s">
        <v>702</v>
      </c>
      <c r="F272" t="s">
        <v>767</v>
      </c>
      <c r="G272">
        <v>1.85</v>
      </c>
      <c r="H272">
        <v>74.3</v>
      </c>
      <c r="I272">
        <v>23.5</v>
      </c>
      <c r="J272">
        <v>35.5</v>
      </c>
      <c r="K272">
        <v>10.6</v>
      </c>
      <c r="L272">
        <v>54</v>
      </c>
      <c r="M272" t="s">
        <v>777</v>
      </c>
      <c r="N272" t="s">
        <v>788</v>
      </c>
      <c r="O272">
        <v>17.440000000000001</v>
      </c>
      <c r="P272">
        <v>185</v>
      </c>
      <c r="Q272">
        <v>0</v>
      </c>
      <c r="R272">
        <v>74.5</v>
      </c>
      <c r="S272">
        <v>185</v>
      </c>
      <c r="T272">
        <v>0</v>
      </c>
      <c r="U272" t="s">
        <v>799</v>
      </c>
      <c r="V272">
        <v>16</v>
      </c>
      <c r="W272">
        <v>1.44</v>
      </c>
      <c r="X272" t="s">
        <v>806</v>
      </c>
      <c r="Y272">
        <v>100</v>
      </c>
      <c r="Z272" t="s">
        <v>814</v>
      </c>
      <c r="AA272">
        <v>41.682815075646545</v>
      </c>
      <c r="AB272">
        <v>43.642147024641901</v>
      </c>
      <c r="AC272">
        <v>46.441168802039698</v>
      </c>
      <c r="AD272">
        <v>46.341182865129674</v>
      </c>
      <c r="AE272">
        <v>27.678749909648776</v>
      </c>
      <c r="AF272">
        <v>28.128338884002357</v>
      </c>
      <c r="AG272">
        <v>46.95637511442407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65</v>
      </c>
      <c r="B273" t="s">
        <v>98</v>
      </c>
      <c r="C273">
        <v>241203</v>
      </c>
      <c r="D273" t="s">
        <v>372</v>
      </c>
      <c r="E273" t="s">
        <v>703</v>
      </c>
      <c r="F273" t="s">
        <v>767</v>
      </c>
      <c r="G273">
        <v>1.9219999999999999</v>
      </c>
      <c r="H273">
        <v>94.7</v>
      </c>
      <c r="I273">
        <v>26.8</v>
      </c>
      <c r="J273">
        <v>40.700000000000003</v>
      </c>
      <c r="K273">
        <v>11.8</v>
      </c>
      <c r="L273">
        <v>60.4</v>
      </c>
      <c r="M273" t="s">
        <v>780</v>
      </c>
      <c r="N273" t="s">
        <v>788</v>
      </c>
      <c r="O273">
        <v>17.48</v>
      </c>
      <c r="P273">
        <v>192.1</v>
      </c>
      <c r="Q273">
        <v>193.2</v>
      </c>
      <c r="R273">
        <v>94.7</v>
      </c>
      <c r="S273">
        <v>192.2</v>
      </c>
      <c r="T273">
        <v>0</v>
      </c>
      <c r="U273" t="s">
        <v>796</v>
      </c>
      <c r="V273">
        <v>16.8</v>
      </c>
      <c r="W273">
        <v>0.71</v>
      </c>
      <c r="X273" t="s">
        <v>805</v>
      </c>
      <c r="Y273">
        <v>100.05</v>
      </c>
      <c r="Z273" t="s">
        <v>814</v>
      </c>
      <c r="AA273">
        <v>44.04468922364174</v>
      </c>
      <c r="AB273">
        <v>44.89924113613133</v>
      </c>
      <c r="AC273">
        <v>47.241629942920738</v>
      </c>
      <c r="AD273">
        <v>46.693455004518739</v>
      </c>
      <c r="AE273">
        <v>28.646819152551434</v>
      </c>
      <c r="AF273">
        <v>30.228961558506647</v>
      </c>
      <c r="AG273">
        <v>50.234331971037527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 t="s">
        <v>67</v>
      </c>
      <c r="B274" t="s">
        <v>95</v>
      </c>
      <c r="C274">
        <v>241203</v>
      </c>
      <c r="D274" t="s">
        <v>373</v>
      </c>
      <c r="E274" t="s">
        <v>704</v>
      </c>
      <c r="F274" t="s">
        <v>767</v>
      </c>
      <c r="G274">
        <v>1.64</v>
      </c>
      <c r="H274">
        <v>47.9</v>
      </c>
      <c r="I274">
        <v>24.7</v>
      </c>
      <c r="J274">
        <v>32.5</v>
      </c>
      <c r="K274">
        <v>45.2</v>
      </c>
      <c r="L274">
        <v>9.8000000000000007</v>
      </c>
      <c r="M274" t="s">
        <v>780</v>
      </c>
      <c r="N274" t="s">
        <v>787</v>
      </c>
      <c r="O274">
        <v>13.87</v>
      </c>
      <c r="P274">
        <v>181.2</v>
      </c>
      <c r="Q274">
        <v>175.8</v>
      </c>
      <c r="R274">
        <v>49.7</v>
      </c>
      <c r="S274">
        <v>162.69999999999999</v>
      </c>
      <c r="T274">
        <v>0</v>
      </c>
      <c r="U274" t="s">
        <v>796</v>
      </c>
      <c r="V274">
        <v>13.8</v>
      </c>
      <c r="W274">
        <v>0.03</v>
      </c>
      <c r="X274" t="s">
        <v>805</v>
      </c>
      <c r="Y274">
        <v>89.79</v>
      </c>
      <c r="Z274" t="s">
        <v>812</v>
      </c>
      <c r="AA274">
        <v>38.389745281959812</v>
      </c>
      <c r="AB274">
        <v>36.910816942606559</v>
      </c>
      <c r="AC274">
        <v>40.761453786726079</v>
      </c>
      <c r="AD274">
        <v>41.611519017762255</v>
      </c>
      <c r="AE274">
        <v>26.90957015160684</v>
      </c>
      <c r="AF274">
        <v>25.618417528052408</v>
      </c>
      <c r="AG274">
        <v>39.283460941975989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 t="s">
        <v>70</v>
      </c>
      <c r="B275" t="s">
        <v>97</v>
      </c>
      <c r="C275">
        <v>241126</v>
      </c>
      <c r="D275" t="s">
        <v>374</v>
      </c>
      <c r="E275" t="s">
        <v>705</v>
      </c>
      <c r="F275" t="s">
        <v>767</v>
      </c>
      <c r="G275">
        <v>1.869</v>
      </c>
      <c r="H275">
        <v>79.2</v>
      </c>
      <c r="I275">
        <v>25.5</v>
      </c>
      <c r="J275">
        <v>39</v>
      </c>
      <c r="K275">
        <v>10.5</v>
      </c>
      <c r="L275">
        <v>57.4</v>
      </c>
      <c r="M275" t="s">
        <v>776</v>
      </c>
      <c r="N275" t="s">
        <v>787</v>
      </c>
      <c r="O275">
        <v>17.73</v>
      </c>
      <c r="P275">
        <v>188</v>
      </c>
      <c r="Q275">
        <v>0</v>
      </c>
      <c r="R275">
        <v>80</v>
      </c>
      <c r="S275">
        <v>187.7</v>
      </c>
      <c r="T275">
        <v>0</v>
      </c>
      <c r="U275" t="s">
        <v>797</v>
      </c>
      <c r="V275">
        <v>15.5</v>
      </c>
      <c r="W275">
        <v>2.2799999999999998</v>
      </c>
      <c r="X275" t="s">
        <v>804</v>
      </c>
      <c r="Y275">
        <v>99.84</v>
      </c>
      <c r="Z275" t="s">
        <v>814</v>
      </c>
      <c r="AA275">
        <v>41.312424266585609</v>
      </c>
      <c r="AB275">
        <v>40.35694609006741</v>
      </c>
      <c r="AC275">
        <v>47.568899318769191</v>
      </c>
      <c r="AD275">
        <v>47.559899617018644</v>
      </c>
      <c r="AE275">
        <v>30.950053513633151</v>
      </c>
      <c r="AF275">
        <v>30.150366063934069</v>
      </c>
      <c r="AG275">
        <v>50.974797349547678</v>
      </c>
      <c r="AH275">
        <v>9.7783410541964777</v>
      </c>
      <c r="AI275">
        <v>0.58158145870573175</v>
      </c>
      <c r="AJ275">
        <v>0.58158145870573175</v>
      </c>
      <c r="AK275">
        <v>4.8292703890195979E-2</v>
      </c>
      <c r="AL275">
        <v>3.8976067536535837</v>
      </c>
    </row>
    <row r="276" spans="1:38">
      <c r="A276" t="s">
        <v>90</v>
      </c>
      <c r="B276" t="s">
        <v>98</v>
      </c>
      <c r="C276">
        <v>241203</v>
      </c>
      <c r="D276" t="s">
        <v>375</v>
      </c>
      <c r="E276" t="s">
        <v>706</v>
      </c>
      <c r="F276" t="s">
        <v>767</v>
      </c>
      <c r="G276">
        <v>1.71</v>
      </c>
      <c r="H276">
        <v>64.400000000000006</v>
      </c>
      <c r="I276">
        <v>24.8</v>
      </c>
      <c r="J276">
        <v>36</v>
      </c>
      <c r="K276">
        <v>10</v>
      </c>
      <c r="L276">
        <v>53.8</v>
      </c>
      <c r="M276" t="s">
        <v>784</v>
      </c>
      <c r="O276">
        <v>16.12</v>
      </c>
      <c r="P276">
        <v>176.2</v>
      </c>
      <c r="Q276">
        <v>174.1</v>
      </c>
      <c r="R276">
        <v>65.8</v>
      </c>
      <c r="S276">
        <v>170.9</v>
      </c>
      <c r="T276">
        <v>0</v>
      </c>
      <c r="U276" t="s">
        <v>796</v>
      </c>
      <c r="V276">
        <v>16.899999999999999</v>
      </c>
      <c r="W276">
        <v>-0.74</v>
      </c>
      <c r="X276" t="s">
        <v>805</v>
      </c>
      <c r="Y276">
        <v>96.99</v>
      </c>
      <c r="Z276" t="s">
        <v>813</v>
      </c>
      <c r="AA276">
        <v>37.914859756528976</v>
      </c>
      <c r="AB276">
        <v>37.733719918973776</v>
      </c>
      <c r="AC276">
        <v>40.440643897465847</v>
      </c>
      <c r="AD276">
        <v>39.948302291626348</v>
      </c>
      <c r="AE276">
        <v>25.758531202863992</v>
      </c>
      <c r="AF276">
        <v>26.678967772925368</v>
      </c>
      <c r="AG276">
        <v>45.497162219386482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t="s">
        <v>72</v>
      </c>
      <c r="B277" t="s">
        <v>98</v>
      </c>
      <c r="C277">
        <v>241203</v>
      </c>
      <c r="D277" t="s">
        <v>376</v>
      </c>
      <c r="E277" t="s">
        <v>707</v>
      </c>
      <c r="F277" t="s">
        <v>767</v>
      </c>
      <c r="G277">
        <v>1.7569999999999999</v>
      </c>
      <c r="H277">
        <v>69.400000000000006</v>
      </c>
      <c r="I277">
        <v>24.3</v>
      </c>
      <c r="J277">
        <v>34.799999999999997</v>
      </c>
      <c r="K277">
        <v>52.3</v>
      </c>
      <c r="L277">
        <v>11.4</v>
      </c>
      <c r="M277" t="s">
        <v>782</v>
      </c>
      <c r="N277" t="s">
        <v>788</v>
      </c>
      <c r="O277">
        <v>16.149999999999999</v>
      </c>
      <c r="P277">
        <v>179.8</v>
      </c>
      <c r="Q277">
        <v>177.7</v>
      </c>
      <c r="R277">
        <v>69.3</v>
      </c>
      <c r="S277">
        <v>175</v>
      </c>
      <c r="T277">
        <v>0</v>
      </c>
      <c r="U277" t="s">
        <v>797</v>
      </c>
      <c r="V277">
        <v>16.5</v>
      </c>
      <c r="W277">
        <v>-0.39</v>
      </c>
      <c r="X277" t="s">
        <v>805</v>
      </c>
      <c r="Y277">
        <v>97.33</v>
      </c>
      <c r="Z277" t="s">
        <v>814</v>
      </c>
      <c r="AA277">
        <v>40.868604968063984</v>
      </c>
      <c r="AB277">
        <v>39.226993553787899</v>
      </c>
      <c r="AC277">
        <v>41.971887879470316</v>
      </c>
      <c r="AD277">
        <v>41.259586154077503</v>
      </c>
      <c r="AE277">
        <v>26.047006160659429</v>
      </c>
      <c r="AF277">
        <v>26.811657976356223</v>
      </c>
      <c r="AG277">
        <v>46.508326733756199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 t="s">
        <v>73</v>
      </c>
      <c r="B278" t="s">
        <v>98</v>
      </c>
      <c r="C278">
        <v>241203</v>
      </c>
      <c r="D278" t="s">
        <v>377</v>
      </c>
      <c r="E278" t="s">
        <v>708</v>
      </c>
      <c r="F278" t="s">
        <v>767</v>
      </c>
      <c r="G278">
        <v>1.79</v>
      </c>
      <c r="H278">
        <v>56.4</v>
      </c>
      <c r="I278">
        <v>24.2</v>
      </c>
      <c r="J278">
        <v>35</v>
      </c>
      <c r="K278">
        <v>10.3</v>
      </c>
      <c r="L278">
        <v>50.8</v>
      </c>
      <c r="M278" t="s">
        <v>783</v>
      </c>
      <c r="N278" t="s">
        <v>787</v>
      </c>
      <c r="O278">
        <v>15.54</v>
      </c>
      <c r="P278">
        <v>176.7</v>
      </c>
      <c r="Q278">
        <v>0</v>
      </c>
      <c r="R278">
        <v>56.8</v>
      </c>
      <c r="S278">
        <v>169.9</v>
      </c>
      <c r="T278">
        <v>0</v>
      </c>
      <c r="U278" t="s">
        <v>796</v>
      </c>
      <c r="V278">
        <v>16.8</v>
      </c>
      <c r="W278">
        <v>-1.29</v>
      </c>
      <c r="X278" t="s">
        <v>808</v>
      </c>
      <c r="Y278">
        <v>96.15</v>
      </c>
      <c r="Z278" t="s">
        <v>813</v>
      </c>
      <c r="AA278">
        <v>39.859474322971138</v>
      </c>
      <c r="AB278">
        <v>39.59508070393732</v>
      </c>
      <c r="AC278">
        <v>40.168910867015931</v>
      </c>
      <c r="AD278">
        <v>41.289760429797639</v>
      </c>
      <c r="AE278">
        <v>26.454730103311221</v>
      </c>
      <c r="AF278">
        <v>25.970751449494564</v>
      </c>
      <c r="AG278">
        <v>44.471067814775843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 t="s">
        <v>74</v>
      </c>
      <c r="B279" t="s">
        <v>98</v>
      </c>
      <c r="C279">
        <v>241203</v>
      </c>
      <c r="D279" t="s">
        <v>378</v>
      </c>
      <c r="E279" t="s">
        <v>709</v>
      </c>
      <c r="F279" t="s">
        <v>767</v>
      </c>
      <c r="G279">
        <v>1.851</v>
      </c>
      <c r="H279">
        <v>73.3</v>
      </c>
      <c r="I279">
        <v>26</v>
      </c>
      <c r="J279">
        <v>37.799999999999997</v>
      </c>
      <c r="K279">
        <v>50.8</v>
      </c>
      <c r="L279">
        <v>10.5</v>
      </c>
      <c r="M279" t="s">
        <v>780</v>
      </c>
      <c r="N279" t="s">
        <v>788</v>
      </c>
      <c r="O279">
        <v>16.61</v>
      </c>
      <c r="P279">
        <v>187.7</v>
      </c>
      <c r="Q279">
        <v>187.4</v>
      </c>
      <c r="R279">
        <v>73.3</v>
      </c>
      <c r="S279">
        <v>185</v>
      </c>
      <c r="T279">
        <v>0</v>
      </c>
      <c r="U279" t="s">
        <v>796</v>
      </c>
      <c r="V279">
        <v>16.8</v>
      </c>
      <c r="W279">
        <v>-0.22</v>
      </c>
      <c r="X279" t="s">
        <v>805</v>
      </c>
      <c r="Y279">
        <v>98.56</v>
      </c>
      <c r="Z279" t="s">
        <v>814</v>
      </c>
      <c r="AA279">
        <v>40.577703322759113</v>
      </c>
      <c r="AB279">
        <v>41.910774928261148</v>
      </c>
      <c r="AC279">
        <v>43.182218804516431</v>
      </c>
      <c r="AD279">
        <v>43.628094254021583</v>
      </c>
      <c r="AE279">
        <v>27.882501846035836</v>
      </c>
      <c r="AF279">
        <v>27.748571597010177</v>
      </c>
      <c r="AG279">
        <v>50.946609626347126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 t="s">
        <v>75</v>
      </c>
      <c r="B280" t="s">
        <v>94</v>
      </c>
      <c r="C280">
        <v>241127</v>
      </c>
      <c r="D280" t="s">
        <v>379</v>
      </c>
      <c r="E280" t="s">
        <v>710</v>
      </c>
      <c r="F280" t="s">
        <v>767</v>
      </c>
      <c r="G280">
        <v>1.48</v>
      </c>
      <c r="H280">
        <v>45.1</v>
      </c>
      <c r="I280">
        <v>22</v>
      </c>
      <c r="J280">
        <v>29.5</v>
      </c>
      <c r="K280">
        <v>10</v>
      </c>
      <c r="L280">
        <v>42</v>
      </c>
      <c r="M280" t="s">
        <v>783</v>
      </c>
      <c r="N280" t="s">
        <v>787</v>
      </c>
      <c r="O280">
        <v>11.4</v>
      </c>
      <c r="P280">
        <v>177.3</v>
      </c>
      <c r="Q280">
        <v>179.1</v>
      </c>
      <c r="R280">
        <v>41.4</v>
      </c>
      <c r="S280">
        <v>149</v>
      </c>
      <c r="T280">
        <v>0</v>
      </c>
      <c r="U280" t="s">
        <v>796</v>
      </c>
      <c r="V280">
        <v>12.6</v>
      </c>
      <c r="W280">
        <v>-1.23</v>
      </c>
      <c r="X280" t="s">
        <v>808</v>
      </c>
      <c r="Y280">
        <v>84.04</v>
      </c>
      <c r="Z280" t="s">
        <v>811</v>
      </c>
      <c r="AA280">
        <v>33.562917655014289</v>
      </c>
      <c r="AB280">
        <v>32.648684552786911</v>
      </c>
      <c r="AC280">
        <v>37.100917349710159</v>
      </c>
      <c r="AD280">
        <v>37.648945160783995</v>
      </c>
      <c r="AE280">
        <v>23.240042832321343</v>
      </c>
      <c r="AF280">
        <v>23.172912977897262</v>
      </c>
      <c r="AG280">
        <v>36.294334844265784</v>
      </c>
      <c r="AH280">
        <v>5.5682219891952167</v>
      </c>
      <c r="AI280">
        <v>0.19824164468719857</v>
      </c>
      <c r="AJ280">
        <v>0.19824164468719857</v>
      </c>
      <c r="AK280">
        <v>2.1724434413070478E-2</v>
      </c>
      <c r="AL280">
        <v>2.2194705124971796</v>
      </c>
    </row>
    <row r="281" spans="1:38">
      <c r="A281" t="s">
        <v>78</v>
      </c>
      <c r="B281" t="s">
        <v>97</v>
      </c>
      <c r="C281">
        <v>241126</v>
      </c>
      <c r="D281" t="s">
        <v>380</v>
      </c>
      <c r="E281" t="s">
        <v>711</v>
      </c>
      <c r="F281" t="s">
        <v>767</v>
      </c>
      <c r="G281">
        <v>1.7719999999999998</v>
      </c>
      <c r="H281">
        <v>65.900000000000006</v>
      </c>
      <c r="I281">
        <v>23.7</v>
      </c>
      <c r="J281">
        <v>36</v>
      </c>
      <c r="K281">
        <v>11</v>
      </c>
      <c r="L281">
        <v>52.3</v>
      </c>
      <c r="M281" t="s">
        <v>780</v>
      </c>
      <c r="N281" t="s">
        <v>788</v>
      </c>
      <c r="AA281">
        <v>41.665381523248548</v>
      </c>
      <c r="AB281">
        <v>42.143139884151822</v>
      </c>
      <c r="AC281">
        <v>44.238416337018364</v>
      </c>
      <c r="AD281">
        <v>43.697625737917924</v>
      </c>
      <c r="AE281">
        <v>28.094716400066364</v>
      </c>
      <c r="AF281">
        <v>27.352380089390891</v>
      </c>
      <c r="AG281">
        <v>46.085830091814834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 t="s">
        <v>1</v>
      </c>
      <c r="B282" t="s">
        <v>94</v>
      </c>
      <c r="C282">
        <v>250410</v>
      </c>
      <c r="D282" t="s">
        <v>381</v>
      </c>
      <c r="E282" t="s">
        <v>712</v>
      </c>
      <c r="F282" t="s">
        <v>768</v>
      </c>
      <c r="G282">
        <v>1.7869999999999999</v>
      </c>
      <c r="H282">
        <v>56</v>
      </c>
      <c r="I282">
        <v>26.2</v>
      </c>
      <c r="J282">
        <v>33.6</v>
      </c>
      <c r="K282">
        <v>10.199999999999999</v>
      </c>
      <c r="L282">
        <v>47.5</v>
      </c>
      <c r="M282" t="s">
        <v>776</v>
      </c>
      <c r="N282" t="s">
        <v>787</v>
      </c>
      <c r="AA282">
        <v>39.98372106180701</v>
      </c>
      <c r="AB282">
        <v>40.953849201197748</v>
      </c>
      <c r="AC282">
        <v>44.017626918973534</v>
      </c>
      <c r="AD282">
        <v>45.285202089714957</v>
      </c>
      <c r="AE282">
        <v>28.966652698391961</v>
      </c>
      <c r="AF282">
        <v>29.02201897690032</v>
      </c>
      <c r="AG282">
        <v>46.947323205058822</v>
      </c>
      <c r="AH282">
        <v>6.9139785231692272</v>
      </c>
      <c r="AI282">
        <v>0.37077442870026006</v>
      </c>
      <c r="AJ282">
        <v>0.37077442870026006</v>
      </c>
      <c r="AK282">
        <v>2.9523825826331531E-2</v>
      </c>
      <c r="AL282">
        <v>2.755883563189403</v>
      </c>
    </row>
    <row r="283" spans="1:38">
      <c r="A283" t="s">
        <v>2</v>
      </c>
      <c r="B283" t="s">
        <v>94</v>
      </c>
      <c r="C283">
        <v>250423</v>
      </c>
      <c r="D283" t="s">
        <v>382</v>
      </c>
      <c r="E283" t="s">
        <v>713</v>
      </c>
      <c r="F283" t="s">
        <v>768</v>
      </c>
      <c r="G283">
        <v>1.53</v>
      </c>
      <c r="H283">
        <v>38</v>
      </c>
      <c r="I283">
        <v>24.2</v>
      </c>
      <c r="J283">
        <v>28.6</v>
      </c>
      <c r="K283">
        <v>9.5</v>
      </c>
      <c r="L283">
        <v>43.9</v>
      </c>
      <c r="M283" t="s">
        <v>784</v>
      </c>
      <c r="N283" t="s">
        <v>787</v>
      </c>
      <c r="O283">
        <v>12.96</v>
      </c>
      <c r="P283">
        <v>176</v>
      </c>
      <c r="Q283">
        <v>178.2</v>
      </c>
      <c r="R283">
        <v>37.9</v>
      </c>
      <c r="S283">
        <v>151.19999999999999</v>
      </c>
      <c r="T283">
        <v>0</v>
      </c>
      <c r="U283" t="s">
        <v>798</v>
      </c>
      <c r="V283">
        <v>12.7</v>
      </c>
      <c r="W283">
        <v>0.28999999999999998</v>
      </c>
      <c r="X283" t="s">
        <v>805</v>
      </c>
      <c r="Y283">
        <v>85.91</v>
      </c>
      <c r="Z283" t="s">
        <v>811</v>
      </c>
      <c r="AA283">
        <v>34.543617386732258</v>
      </c>
      <c r="AB283">
        <v>33.758589321972195</v>
      </c>
      <c r="AC283">
        <v>37.392604267757733</v>
      </c>
      <c r="AD283">
        <v>38.377147144969456</v>
      </c>
      <c r="AE283">
        <v>25.439370024726692</v>
      </c>
      <c r="AF283">
        <v>24.973473388780061</v>
      </c>
      <c r="AG283">
        <v>37.622519600557652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 t="s">
        <v>3</v>
      </c>
      <c r="B284" t="s">
        <v>94</v>
      </c>
      <c r="C284">
        <v>250422</v>
      </c>
      <c r="D284" t="s">
        <v>383</v>
      </c>
      <c r="E284" t="s">
        <v>714</v>
      </c>
      <c r="F284" t="s">
        <v>768</v>
      </c>
      <c r="G284">
        <v>1.554</v>
      </c>
      <c r="H284">
        <v>42.2</v>
      </c>
      <c r="I284">
        <v>21.8</v>
      </c>
      <c r="J284">
        <v>30.4</v>
      </c>
      <c r="K284">
        <v>10.3</v>
      </c>
      <c r="L284">
        <v>41.9</v>
      </c>
      <c r="M284" t="s">
        <v>783</v>
      </c>
      <c r="N284" t="s">
        <v>787</v>
      </c>
      <c r="AA284">
        <v>36.588051979977777</v>
      </c>
      <c r="AB284">
        <v>35.870406441855728</v>
      </c>
      <c r="AC284">
        <v>36.357910756036297</v>
      </c>
      <c r="AD284">
        <v>36.637342521448922</v>
      </c>
      <c r="AE284">
        <v>24.695298871994023</v>
      </c>
      <c r="AF284">
        <v>24.375290126335749</v>
      </c>
      <c r="AG284">
        <v>39.647717848937887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 t="s">
        <v>5</v>
      </c>
      <c r="B285" t="s">
        <v>94</v>
      </c>
      <c r="C285">
        <v>250410</v>
      </c>
      <c r="D285" t="s">
        <v>384</v>
      </c>
      <c r="E285" t="s">
        <v>715</v>
      </c>
      <c r="F285" t="s">
        <v>768</v>
      </c>
      <c r="G285">
        <v>1.409</v>
      </c>
      <c r="H285">
        <v>36.4</v>
      </c>
      <c r="I285">
        <v>22.5</v>
      </c>
      <c r="J285">
        <v>30</v>
      </c>
      <c r="K285">
        <v>9.6</v>
      </c>
      <c r="L285">
        <v>44.2</v>
      </c>
      <c r="M285" t="s">
        <v>778</v>
      </c>
      <c r="N285" t="s">
        <v>788</v>
      </c>
      <c r="O285">
        <v>12.73</v>
      </c>
      <c r="P285">
        <v>169.6</v>
      </c>
      <c r="Q285">
        <v>170.5</v>
      </c>
      <c r="R285">
        <v>36.700000000000003</v>
      </c>
      <c r="S285">
        <v>152</v>
      </c>
      <c r="T285">
        <v>0</v>
      </c>
      <c r="U285" t="s">
        <v>796</v>
      </c>
      <c r="V285">
        <v>13.2</v>
      </c>
      <c r="W285">
        <v>-0.46</v>
      </c>
      <c r="X285" t="s">
        <v>805</v>
      </c>
      <c r="Y285">
        <v>89.62</v>
      </c>
      <c r="Z285" t="s">
        <v>812</v>
      </c>
      <c r="AA285">
        <v>33.314761583746701</v>
      </c>
      <c r="AB285">
        <v>31.223005447018529</v>
      </c>
      <c r="AC285">
        <v>35.062263667179529</v>
      </c>
      <c r="AD285">
        <v>35.605780296606333</v>
      </c>
      <c r="AE285">
        <v>24.295659281931201</v>
      </c>
      <c r="AF285">
        <v>24.14721744487937</v>
      </c>
      <c r="AG285">
        <v>30.949470926107484</v>
      </c>
      <c r="AH285">
        <v>4.4940860400599973</v>
      </c>
      <c r="AI285">
        <v>0.16008766777345904</v>
      </c>
      <c r="AJ285">
        <v>0.16008766777345904</v>
      </c>
      <c r="AK285">
        <v>1.8492544147725366E-2</v>
      </c>
      <c r="AL285">
        <v>1.7913243160731118</v>
      </c>
    </row>
    <row r="286" spans="1:38">
      <c r="A286" t="s">
        <v>6</v>
      </c>
      <c r="B286" t="s">
        <v>94</v>
      </c>
      <c r="C286">
        <v>250410</v>
      </c>
      <c r="D286" t="s">
        <v>385</v>
      </c>
      <c r="E286" t="s">
        <v>716</v>
      </c>
      <c r="F286" t="s">
        <v>768</v>
      </c>
      <c r="G286">
        <v>1.5189999999999999</v>
      </c>
      <c r="H286">
        <v>38.9</v>
      </c>
      <c r="I286">
        <v>23.7</v>
      </c>
      <c r="J286">
        <v>30.4</v>
      </c>
      <c r="K286">
        <v>9.9</v>
      </c>
      <c r="L286">
        <v>42.6</v>
      </c>
      <c r="M286" t="s">
        <v>783</v>
      </c>
      <c r="N286" t="s">
        <v>787</v>
      </c>
      <c r="O286">
        <v>12.67</v>
      </c>
      <c r="P286">
        <v>176.7</v>
      </c>
      <c r="Q286">
        <v>179.1</v>
      </c>
      <c r="R286">
        <v>39.5</v>
      </c>
      <c r="S286">
        <v>145</v>
      </c>
      <c r="T286">
        <v>0</v>
      </c>
      <c r="U286" t="s">
        <v>799</v>
      </c>
      <c r="V286">
        <v>12.5</v>
      </c>
      <c r="W286">
        <v>0.2</v>
      </c>
      <c r="X286" t="s">
        <v>805</v>
      </c>
      <c r="Y286">
        <v>82.06</v>
      </c>
      <c r="Z286" t="s">
        <v>811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 t="s">
        <v>8</v>
      </c>
      <c r="B287" t="s">
        <v>94</v>
      </c>
      <c r="C287">
        <v>250410</v>
      </c>
      <c r="D287" t="s">
        <v>386</v>
      </c>
      <c r="E287" t="s">
        <v>717</v>
      </c>
      <c r="F287" t="s">
        <v>768</v>
      </c>
      <c r="G287">
        <v>1.4419999999999999</v>
      </c>
      <c r="H287">
        <v>39.299999999999997</v>
      </c>
      <c r="I287">
        <v>22.6</v>
      </c>
      <c r="J287">
        <v>30.8</v>
      </c>
      <c r="K287">
        <v>9.5</v>
      </c>
      <c r="L287">
        <v>48.4</v>
      </c>
      <c r="M287" t="s">
        <v>777</v>
      </c>
      <c r="N287" t="s">
        <v>788</v>
      </c>
      <c r="O287">
        <v>12.47</v>
      </c>
      <c r="P287">
        <v>174.2</v>
      </c>
      <c r="Q287">
        <v>176.2</v>
      </c>
      <c r="R287">
        <v>39.200000000000003</v>
      </c>
      <c r="S287">
        <v>141.4</v>
      </c>
      <c r="T287">
        <v>0</v>
      </c>
      <c r="U287" t="s">
        <v>798</v>
      </c>
      <c r="V287">
        <v>12.7</v>
      </c>
      <c r="W287">
        <v>-0.26</v>
      </c>
      <c r="X287" t="s">
        <v>805</v>
      </c>
      <c r="Y287">
        <v>81.17</v>
      </c>
      <c r="Z287" t="s">
        <v>811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 t="s">
        <v>9</v>
      </c>
      <c r="B288" t="s">
        <v>94</v>
      </c>
      <c r="C288">
        <v>250410</v>
      </c>
      <c r="D288" t="s">
        <v>387</v>
      </c>
      <c r="E288" t="s">
        <v>718</v>
      </c>
      <c r="F288" t="s">
        <v>768</v>
      </c>
      <c r="G288">
        <v>1.6220000000000001</v>
      </c>
      <c r="H288">
        <v>49.3</v>
      </c>
      <c r="I288">
        <v>25.5</v>
      </c>
      <c r="J288">
        <v>32.700000000000003</v>
      </c>
      <c r="K288">
        <v>10.9</v>
      </c>
      <c r="L288">
        <v>47</v>
      </c>
      <c r="M288" t="s">
        <v>779</v>
      </c>
      <c r="N288" t="s">
        <v>787</v>
      </c>
      <c r="O288">
        <v>13.76</v>
      </c>
      <c r="P288">
        <v>181</v>
      </c>
      <c r="Q288">
        <v>177.2</v>
      </c>
      <c r="R288">
        <v>51.7</v>
      </c>
      <c r="S288">
        <v>162.4</v>
      </c>
      <c r="T288">
        <v>0</v>
      </c>
      <c r="U288" t="s">
        <v>796</v>
      </c>
      <c r="V288">
        <v>13.3</v>
      </c>
      <c r="W288">
        <v>0.48</v>
      </c>
      <c r="X288" t="s">
        <v>805</v>
      </c>
      <c r="Y288">
        <v>89.72</v>
      </c>
      <c r="Z288" t="s">
        <v>812</v>
      </c>
      <c r="AA288">
        <v>37.669705881459031</v>
      </c>
      <c r="AB288">
        <v>36.35793685414248</v>
      </c>
      <c r="AC288">
        <v>39.113031247517213</v>
      </c>
      <c r="AD288">
        <v>39.455999884008094</v>
      </c>
      <c r="AE288">
        <v>28.762000553221629</v>
      </c>
      <c r="AF288">
        <v>28.357027073609675</v>
      </c>
      <c r="AG288">
        <v>40.168872526416948</v>
      </c>
      <c r="AH288">
        <v>6.0867703784329086</v>
      </c>
      <c r="AI288">
        <v>0.25519577214894168</v>
      </c>
      <c r="AJ288">
        <v>0.25519577214894168</v>
      </c>
      <c r="AK288">
        <v>2.9961606915665816E-2</v>
      </c>
      <c r="AL288">
        <v>2.4261617797363848</v>
      </c>
    </row>
    <row r="289" spans="1:38">
      <c r="A289" t="s">
        <v>10</v>
      </c>
      <c r="B289" t="s">
        <v>94</v>
      </c>
      <c r="C289">
        <v>250410</v>
      </c>
      <c r="D289" t="s">
        <v>388</v>
      </c>
      <c r="E289" t="s">
        <v>719</v>
      </c>
      <c r="F289" t="s">
        <v>768</v>
      </c>
      <c r="G289">
        <v>1.575</v>
      </c>
      <c r="H289">
        <v>44</v>
      </c>
      <c r="I289">
        <v>23</v>
      </c>
      <c r="J289">
        <v>30.2</v>
      </c>
      <c r="K289">
        <v>9.8000000000000007</v>
      </c>
      <c r="L289">
        <v>42.7</v>
      </c>
      <c r="M289" t="s">
        <v>780</v>
      </c>
      <c r="N289" t="s">
        <v>787</v>
      </c>
      <c r="O289">
        <v>13</v>
      </c>
      <c r="P289">
        <v>180.7</v>
      </c>
      <c r="Q289">
        <v>178.7</v>
      </c>
      <c r="R289">
        <v>44</v>
      </c>
      <c r="S289">
        <v>158.5</v>
      </c>
      <c r="T289">
        <v>0</v>
      </c>
      <c r="U289" t="s">
        <v>797</v>
      </c>
      <c r="V289">
        <v>13</v>
      </c>
      <c r="W289">
        <v>0</v>
      </c>
      <c r="X289" t="s">
        <v>805</v>
      </c>
      <c r="Y289">
        <v>87.71</v>
      </c>
      <c r="Z289" t="s">
        <v>811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 t="s">
        <v>11</v>
      </c>
      <c r="B290" t="s">
        <v>94</v>
      </c>
      <c r="C290">
        <v>250423</v>
      </c>
      <c r="D290" t="s">
        <v>389</v>
      </c>
      <c r="E290" t="s">
        <v>720</v>
      </c>
      <c r="F290" t="s">
        <v>768</v>
      </c>
      <c r="G290">
        <v>1.623</v>
      </c>
      <c r="H290">
        <v>50.3</v>
      </c>
      <c r="I290">
        <v>24.2</v>
      </c>
      <c r="J290">
        <v>32.6</v>
      </c>
      <c r="K290">
        <v>10.6</v>
      </c>
      <c r="L290">
        <v>48.6</v>
      </c>
      <c r="M290" t="s">
        <v>782</v>
      </c>
      <c r="N290" t="s">
        <v>787</v>
      </c>
      <c r="O290">
        <v>14.01</v>
      </c>
      <c r="P290">
        <v>178.9</v>
      </c>
      <c r="Q290">
        <v>173.7</v>
      </c>
      <c r="R290">
        <v>51.1</v>
      </c>
      <c r="S290">
        <v>161.4</v>
      </c>
      <c r="T290">
        <v>0</v>
      </c>
      <c r="U290" t="s">
        <v>796</v>
      </c>
      <c r="V290">
        <v>13.3</v>
      </c>
      <c r="W290">
        <v>0.68</v>
      </c>
      <c r="X290" t="s">
        <v>805</v>
      </c>
      <c r="Y290">
        <v>90.22</v>
      </c>
      <c r="Z290" t="s">
        <v>812</v>
      </c>
      <c r="AA290">
        <v>38.157594367391269</v>
      </c>
      <c r="AB290">
        <v>38.704401648634757</v>
      </c>
      <c r="AC290">
        <v>41.576197130492602</v>
      </c>
      <c r="AD290">
        <v>40.997955184820086</v>
      </c>
      <c r="AE290">
        <v>26.931201742350623</v>
      </c>
      <c r="AF290">
        <v>26.781795476010778</v>
      </c>
      <c r="AG290">
        <v>39.583878472422427</v>
      </c>
      <c r="AH290">
        <v>6.2102342806323581</v>
      </c>
      <c r="AI290">
        <v>0.28981315094672755</v>
      </c>
      <c r="AJ290">
        <v>0.28981315094672755</v>
      </c>
      <c r="AK290">
        <v>3.1999249758291777E-2</v>
      </c>
      <c r="AL290">
        <v>2.4753739862219097</v>
      </c>
    </row>
    <row r="291" spans="1:38">
      <c r="A291" t="s">
        <v>12</v>
      </c>
      <c r="B291" t="s">
        <v>94</v>
      </c>
      <c r="C291">
        <v>250410</v>
      </c>
      <c r="D291" t="s">
        <v>390</v>
      </c>
      <c r="E291" t="s">
        <v>721</v>
      </c>
      <c r="F291" t="s">
        <v>768</v>
      </c>
      <c r="G291">
        <v>1.56</v>
      </c>
      <c r="H291">
        <v>39.299999999999997</v>
      </c>
      <c r="I291">
        <v>23.7</v>
      </c>
      <c r="J291">
        <v>29.2</v>
      </c>
      <c r="K291">
        <v>9.8000000000000007</v>
      </c>
      <c r="L291">
        <v>42.6</v>
      </c>
      <c r="M291" t="s">
        <v>782</v>
      </c>
      <c r="N291" t="s">
        <v>788</v>
      </c>
      <c r="O291">
        <v>12.76</v>
      </c>
      <c r="P291">
        <v>179.5</v>
      </c>
      <c r="Q291">
        <v>180.8</v>
      </c>
      <c r="R291">
        <v>39.4</v>
      </c>
      <c r="S291">
        <v>156.1</v>
      </c>
      <c r="T291">
        <v>0</v>
      </c>
      <c r="U291" t="s">
        <v>798</v>
      </c>
      <c r="V291">
        <v>12.8</v>
      </c>
      <c r="W291">
        <v>0</v>
      </c>
      <c r="X291" t="s">
        <v>805</v>
      </c>
      <c r="Y291">
        <v>86.96</v>
      </c>
      <c r="Z291" t="s">
        <v>811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 t="s">
        <v>80</v>
      </c>
      <c r="B292" t="s">
        <v>94</v>
      </c>
      <c r="C292">
        <v>250423</v>
      </c>
      <c r="D292" t="s">
        <v>391</v>
      </c>
      <c r="E292" t="s">
        <v>722</v>
      </c>
      <c r="F292" t="s">
        <v>768</v>
      </c>
      <c r="G292">
        <v>1.6839999999999999</v>
      </c>
      <c r="H292">
        <v>48.4</v>
      </c>
      <c r="I292">
        <v>24.2</v>
      </c>
      <c r="J292">
        <v>31.7</v>
      </c>
      <c r="K292">
        <v>11.5</v>
      </c>
      <c r="L292">
        <v>46.7</v>
      </c>
      <c r="M292" t="s">
        <v>783</v>
      </c>
      <c r="N292" t="s">
        <v>787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81</v>
      </c>
      <c r="B293" t="s">
        <v>94</v>
      </c>
      <c r="C293">
        <v>250423</v>
      </c>
      <c r="D293" t="s">
        <v>392</v>
      </c>
      <c r="E293" t="s">
        <v>723</v>
      </c>
      <c r="F293" t="s">
        <v>768</v>
      </c>
      <c r="G293">
        <v>1.704</v>
      </c>
      <c r="H293">
        <v>58.1</v>
      </c>
      <c r="I293">
        <v>25.8</v>
      </c>
      <c r="J293">
        <v>34.4</v>
      </c>
      <c r="K293">
        <v>10.8</v>
      </c>
      <c r="L293">
        <v>48.6</v>
      </c>
      <c r="M293" t="s">
        <v>780</v>
      </c>
      <c r="N293" t="s">
        <v>787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 t="s">
        <v>82</v>
      </c>
      <c r="B294" t="s">
        <v>96</v>
      </c>
      <c r="C294">
        <v>250409</v>
      </c>
      <c r="D294" t="s">
        <v>393</v>
      </c>
      <c r="E294" t="s">
        <v>724</v>
      </c>
      <c r="F294" t="s">
        <v>768</v>
      </c>
      <c r="G294">
        <v>1.56</v>
      </c>
      <c r="H294">
        <v>45.5</v>
      </c>
      <c r="I294">
        <v>21</v>
      </c>
      <c r="J294">
        <v>32.5</v>
      </c>
      <c r="K294">
        <v>9.8000000000000007</v>
      </c>
      <c r="L294">
        <v>44.4</v>
      </c>
      <c r="M294" t="s">
        <v>777</v>
      </c>
      <c r="N294" t="s">
        <v>787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 t="s">
        <v>86</v>
      </c>
      <c r="B295" t="s">
        <v>97</v>
      </c>
      <c r="C295">
        <v>250423</v>
      </c>
      <c r="D295" t="s">
        <v>394</v>
      </c>
      <c r="E295" t="s">
        <v>725</v>
      </c>
      <c r="F295" t="s">
        <v>768</v>
      </c>
      <c r="G295">
        <v>1.845</v>
      </c>
      <c r="H295">
        <v>77.2</v>
      </c>
      <c r="I295">
        <v>23.1</v>
      </c>
      <c r="J295">
        <v>38</v>
      </c>
      <c r="K295">
        <v>9.9</v>
      </c>
      <c r="L295">
        <v>59</v>
      </c>
      <c r="M295" t="s">
        <v>780</v>
      </c>
      <c r="N295" t="s">
        <v>787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 t="s">
        <v>87</v>
      </c>
      <c r="B296" t="s">
        <v>97</v>
      </c>
      <c r="C296">
        <v>250423</v>
      </c>
      <c r="D296" t="s">
        <v>395</v>
      </c>
      <c r="E296" t="s">
        <v>726</v>
      </c>
      <c r="F296" t="s">
        <v>768</v>
      </c>
      <c r="G296">
        <v>173.4</v>
      </c>
      <c r="H296">
        <v>58.2</v>
      </c>
      <c r="I296">
        <v>21.5</v>
      </c>
      <c r="J296">
        <v>32.200000000000003</v>
      </c>
      <c r="K296">
        <v>9</v>
      </c>
      <c r="L296">
        <v>50</v>
      </c>
      <c r="M296" t="s">
        <v>782</v>
      </c>
      <c r="N296" t="s">
        <v>788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 t="s">
        <v>88</v>
      </c>
      <c r="B297" t="s">
        <v>97</v>
      </c>
      <c r="C297">
        <v>250423</v>
      </c>
      <c r="D297" t="s">
        <v>396</v>
      </c>
      <c r="E297" t="s">
        <v>727</v>
      </c>
      <c r="F297" t="s">
        <v>768</v>
      </c>
      <c r="G297">
        <v>1.835</v>
      </c>
      <c r="H297">
        <v>82.7</v>
      </c>
      <c r="I297">
        <v>26.2</v>
      </c>
      <c r="J297">
        <v>40.5</v>
      </c>
      <c r="K297">
        <v>10.6</v>
      </c>
      <c r="L297">
        <v>61</v>
      </c>
      <c r="M297" t="s">
        <v>783</v>
      </c>
      <c r="N297" t="s">
        <v>787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 t="s">
        <v>91</v>
      </c>
      <c r="B298" t="s">
        <v>97</v>
      </c>
      <c r="C298">
        <v>250423</v>
      </c>
      <c r="D298" t="s">
        <v>397</v>
      </c>
      <c r="E298" t="s">
        <v>728</v>
      </c>
      <c r="F298" t="s">
        <v>768</v>
      </c>
      <c r="G298">
        <v>1.768</v>
      </c>
      <c r="H298">
        <v>81.8</v>
      </c>
      <c r="I298">
        <v>26.5</v>
      </c>
      <c r="J298">
        <v>37.5</v>
      </c>
      <c r="K298">
        <v>11.2</v>
      </c>
      <c r="L298">
        <v>62</v>
      </c>
      <c r="M298" t="s">
        <v>781</v>
      </c>
      <c r="N298" t="s">
        <v>787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 t="s">
        <v>15</v>
      </c>
      <c r="B299" t="s">
        <v>95</v>
      </c>
      <c r="C299">
        <v>250408</v>
      </c>
      <c r="D299" t="s">
        <v>398</v>
      </c>
      <c r="E299" t="s">
        <v>729</v>
      </c>
      <c r="F299" t="s">
        <v>768</v>
      </c>
      <c r="G299">
        <v>1.6</v>
      </c>
      <c r="H299">
        <v>53.6</v>
      </c>
      <c r="I299">
        <v>25.5</v>
      </c>
      <c r="J299">
        <v>34.5</v>
      </c>
      <c r="K299">
        <v>10.199999999999999</v>
      </c>
      <c r="L299">
        <v>46.9</v>
      </c>
      <c r="M299" t="s">
        <v>784</v>
      </c>
      <c r="N299" t="s">
        <v>787</v>
      </c>
      <c r="O299">
        <v>13.64</v>
      </c>
      <c r="P299">
        <v>178.8</v>
      </c>
      <c r="Q299">
        <v>174</v>
      </c>
      <c r="R299">
        <v>53.2</v>
      </c>
      <c r="S299">
        <v>158.6</v>
      </c>
      <c r="T299">
        <v>0</v>
      </c>
      <c r="U299" t="s">
        <v>798</v>
      </c>
      <c r="V299">
        <v>13.5</v>
      </c>
      <c r="W299">
        <v>0.11</v>
      </c>
      <c r="X299" t="s">
        <v>805</v>
      </c>
      <c r="Y299">
        <v>88.7</v>
      </c>
      <c r="Z299" t="s">
        <v>811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t="s">
        <v>19</v>
      </c>
      <c r="B300" t="s">
        <v>95</v>
      </c>
      <c r="C300">
        <v>250408</v>
      </c>
      <c r="D300" t="s">
        <v>399</v>
      </c>
      <c r="E300" t="s">
        <v>730</v>
      </c>
      <c r="F300" t="s">
        <v>768</v>
      </c>
      <c r="G300">
        <v>1.738</v>
      </c>
      <c r="H300">
        <v>62.9</v>
      </c>
      <c r="I300">
        <v>25.5</v>
      </c>
      <c r="J300">
        <v>34</v>
      </c>
      <c r="K300">
        <v>9.8000000000000007</v>
      </c>
      <c r="L300">
        <v>51</v>
      </c>
      <c r="M300" t="s">
        <v>784</v>
      </c>
      <c r="N300" t="s">
        <v>787</v>
      </c>
      <c r="O300">
        <v>14.59</v>
      </c>
      <c r="P300">
        <v>184.4</v>
      </c>
      <c r="Q300">
        <v>181.4</v>
      </c>
      <c r="R300">
        <v>61.8</v>
      </c>
      <c r="S300">
        <v>171</v>
      </c>
      <c r="T300">
        <v>0</v>
      </c>
      <c r="U300" t="s">
        <v>796</v>
      </c>
      <c r="V300">
        <v>14.1</v>
      </c>
      <c r="W300">
        <v>0.5</v>
      </c>
      <c r="X300" t="s">
        <v>805</v>
      </c>
      <c r="Y300">
        <v>92.73</v>
      </c>
      <c r="Z300" t="s">
        <v>812</v>
      </c>
      <c r="AA300">
        <v>39.560882949105427</v>
      </c>
      <c r="AB300">
        <v>41.062739246743348</v>
      </c>
      <c r="AC300">
        <v>46.252382346028398</v>
      </c>
      <c r="AD300">
        <v>47.710185102135476</v>
      </c>
      <c r="AE300">
        <v>27.303617068893438</v>
      </c>
      <c r="AF300">
        <v>27.516575984207655</v>
      </c>
      <c r="AG300">
        <v>43.498434259320938</v>
      </c>
      <c r="AH300">
        <v>7.7658794483454354</v>
      </c>
      <c r="AI300">
        <v>0.43567457133165771</v>
      </c>
      <c r="AJ300">
        <v>0.43567457133165771</v>
      </c>
      <c r="AK300">
        <v>4.2336968209856933E-2</v>
      </c>
      <c r="AL300">
        <v>3.0954477879395257</v>
      </c>
    </row>
    <row r="301" spans="1:38">
      <c r="A301" t="s">
        <v>21</v>
      </c>
      <c r="B301" t="s">
        <v>96</v>
      </c>
      <c r="C301">
        <v>250423</v>
      </c>
      <c r="D301" t="s">
        <v>400</v>
      </c>
      <c r="E301" t="s">
        <v>731</v>
      </c>
      <c r="F301" t="s">
        <v>768</v>
      </c>
      <c r="G301">
        <v>1.6719999999999999</v>
      </c>
      <c r="H301">
        <v>59.1</v>
      </c>
      <c r="I301">
        <v>23</v>
      </c>
      <c r="J301">
        <v>35.1</v>
      </c>
      <c r="K301">
        <v>9.6999999999999993</v>
      </c>
      <c r="L301">
        <v>51.5</v>
      </c>
      <c r="M301" t="s">
        <v>783</v>
      </c>
      <c r="N301" t="s">
        <v>787</v>
      </c>
      <c r="O301">
        <v>15.54</v>
      </c>
      <c r="P301">
        <v>180.5</v>
      </c>
      <c r="Q301">
        <v>179.3</v>
      </c>
      <c r="R301">
        <v>59.9</v>
      </c>
      <c r="S301">
        <v>175</v>
      </c>
      <c r="T301">
        <v>0</v>
      </c>
      <c r="U301" t="s">
        <v>796</v>
      </c>
      <c r="V301">
        <v>15.2</v>
      </c>
      <c r="W301">
        <v>0.37</v>
      </c>
      <c r="X301" t="s">
        <v>805</v>
      </c>
      <c r="Y301">
        <v>96.95</v>
      </c>
      <c r="Z301" t="s">
        <v>813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 t="s">
        <v>24</v>
      </c>
      <c r="B302" t="s">
        <v>96</v>
      </c>
      <c r="C302">
        <v>250409</v>
      </c>
      <c r="D302" t="s">
        <v>401</v>
      </c>
      <c r="E302" t="s">
        <v>732</v>
      </c>
      <c r="F302" t="s">
        <v>768</v>
      </c>
      <c r="G302">
        <v>1.7</v>
      </c>
      <c r="H302">
        <v>65.599999999999994</v>
      </c>
      <c r="I302">
        <v>25.1</v>
      </c>
      <c r="J302">
        <v>36.6</v>
      </c>
      <c r="K302">
        <v>10.9</v>
      </c>
      <c r="L302">
        <v>54.5</v>
      </c>
      <c r="M302" t="s">
        <v>783</v>
      </c>
      <c r="N302" t="s">
        <v>787</v>
      </c>
      <c r="O302">
        <v>15.55</v>
      </c>
      <c r="P302">
        <v>176</v>
      </c>
      <c r="Q302">
        <v>174.2</v>
      </c>
      <c r="R302">
        <v>65.2</v>
      </c>
      <c r="S302">
        <v>169.9</v>
      </c>
      <c r="T302">
        <v>0</v>
      </c>
      <c r="U302" t="s">
        <v>797</v>
      </c>
      <c r="V302">
        <v>14.8</v>
      </c>
      <c r="W302">
        <v>0.73</v>
      </c>
      <c r="X302" t="s">
        <v>805</v>
      </c>
      <c r="Y302">
        <v>96.53</v>
      </c>
      <c r="Z302" t="s">
        <v>813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 t="s">
        <v>25</v>
      </c>
      <c r="B303" t="s">
        <v>96</v>
      </c>
      <c r="C303">
        <v>250409</v>
      </c>
      <c r="D303" t="s">
        <v>402</v>
      </c>
      <c r="E303" t="s">
        <v>733</v>
      </c>
      <c r="F303" t="s">
        <v>768</v>
      </c>
      <c r="G303">
        <v>1.6990000000000001</v>
      </c>
      <c r="H303">
        <v>64.3</v>
      </c>
      <c r="I303">
        <v>25.1</v>
      </c>
      <c r="J303">
        <v>36.799999999999997</v>
      </c>
      <c r="K303">
        <v>10.4</v>
      </c>
      <c r="L303">
        <v>54.1</v>
      </c>
      <c r="M303" t="s">
        <v>784</v>
      </c>
      <c r="N303" t="s">
        <v>787</v>
      </c>
      <c r="O303">
        <v>15.05</v>
      </c>
      <c r="P303">
        <v>178.7</v>
      </c>
      <c r="Q303">
        <v>174.6</v>
      </c>
      <c r="R303">
        <v>63.5</v>
      </c>
      <c r="S303">
        <v>168.6</v>
      </c>
      <c r="T303">
        <v>0</v>
      </c>
      <c r="U303" t="s">
        <v>799</v>
      </c>
      <c r="V303">
        <v>14.5</v>
      </c>
      <c r="W303">
        <v>0.57999999999999996</v>
      </c>
      <c r="X303" t="s">
        <v>805</v>
      </c>
      <c r="Y303">
        <v>94.35</v>
      </c>
      <c r="Z303" t="s">
        <v>813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 t="s">
        <v>26</v>
      </c>
      <c r="B304" t="s">
        <v>96</v>
      </c>
      <c r="C304">
        <v>250409</v>
      </c>
      <c r="D304" t="s">
        <v>403</v>
      </c>
      <c r="E304" t="s">
        <v>734</v>
      </c>
      <c r="F304" t="s">
        <v>768</v>
      </c>
      <c r="G304">
        <v>1.776</v>
      </c>
      <c r="H304">
        <v>69.5</v>
      </c>
      <c r="I304">
        <v>25.2</v>
      </c>
      <c r="J304">
        <v>34</v>
      </c>
      <c r="K304">
        <v>11.3</v>
      </c>
      <c r="L304">
        <v>52.5</v>
      </c>
      <c r="M304" t="s">
        <v>776</v>
      </c>
      <c r="N304" t="s">
        <v>787</v>
      </c>
      <c r="O304">
        <v>15.52</v>
      </c>
      <c r="P304">
        <v>180.8</v>
      </c>
      <c r="Q304">
        <v>179.3</v>
      </c>
      <c r="R304">
        <v>67.7</v>
      </c>
      <c r="S304">
        <v>175.7</v>
      </c>
      <c r="T304">
        <v>0</v>
      </c>
      <c r="U304" t="s">
        <v>797</v>
      </c>
      <c r="V304">
        <v>14.7</v>
      </c>
      <c r="W304">
        <v>0.78</v>
      </c>
      <c r="X304" t="s">
        <v>805</v>
      </c>
      <c r="Y304">
        <v>97.18</v>
      </c>
      <c r="Z304" t="s">
        <v>814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 t="s">
        <v>27</v>
      </c>
      <c r="B305" t="s">
        <v>96</v>
      </c>
      <c r="C305">
        <v>250409</v>
      </c>
      <c r="D305" t="s">
        <v>404</v>
      </c>
      <c r="E305" t="s">
        <v>735</v>
      </c>
      <c r="F305" t="s">
        <v>768</v>
      </c>
      <c r="G305">
        <v>1.71</v>
      </c>
      <c r="H305">
        <v>53.1</v>
      </c>
      <c r="I305">
        <v>24.3</v>
      </c>
      <c r="J305">
        <v>32.799999999999997</v>
      </c>
      <c r="K305">
        <v>10.4</v>
      </c>
      <c r="L305">
        <v>47.4</v>
      </c>
      <c r="M305" t="s">
        <v>776</v>
      </c>
      <c r="N305" t="s">
        <v>787</v>
      </c>
      <c r="O305">
        <v>15.06</v>
      </c>
      <c r="P305">
        <v>179</v>
      </c>
      <c r="Q305">
        <v>174.6</v>
      </c>
      <c r="R305">
        <v>53.2</v>
      </c>
      <c r="S305">
        <v>169.4</v>
      </c>
      <c r="T305">
        <v>0</v>
      </c>
      <c r="U305" t="s">
        <v>799</v>
      </c>
      <c r="V305">
        <v>14.4</v>
      </c>
      <c r="W305">
        <v>0.61</v>
      </c>
      <c r="X305" t="s">
        <v>805</v>
      </c>
      <c r="Y305">
        <v>94.64</v>
      </c>
      <c r="Z305" t="s">
        <v>813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t="s">
        <v>28</v>
      </c>
      <c r="B306" t="s">
        <v>96</v>
      </c>
      <c r="C306">
        <v>250409</v>
      </c>
      <c r="D306" t="s">
        <v>405</v>
      </c>
      <c r="E306" t="s">
        <v>736</v>
      </c>
      <c r="F306" t="s">
        <v>768</v>
      </c>
      <c r="G306">
        <v>1.7849999999999999</v>
      </c>
      <c r="H306">
        <v>64.2</v>
      </c>
      <c r="I306">
        <v>26.6</v>
      </c>
      <c r="J306">
        <v>36.5</v>
      </c>
      <c r="K306">
        <v>11.5</v>
      </c>
      <c r="L306">
        <v>52.1</v>
      </c>
      <c r="M306" t="s">
        <v>783</v>
      </c>
      <c r="N306" t="s">
        <v>787</v>
      </c>
      <c r="O306">
        <v>15.51</v>
      </c>
      <c r="P306">
        <v>184.6</v>
      </c>
      <c r="Q306">
        <v>182.3</v>
      </c>
      <c r="R306">
        <v>65.2</v>
      </c>
      <c r="S306">
        <v>177</v>
      </c>
      <c r="T306">
        <v>0</v>
      </c>
      <c r="U306" t="s">
        <v>799</v>
      </c>
      <c r="V306">
        <v>14.3</v>
      </c>
      <c r="W306">
        <v>1.24</v>
      </c>
      <c r="X306" t="s">
        <v>806</v>
      </c>
      <c r="Y306">
        <v>95.88</v>
      </c>
      <c r="Z306" t="s">
        <v>813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 t="s">
        <v>30</v>
      </c>
      <c r="B307" t="s">
        <v>96</v>
      </c>
      <c r="C307">
        <v>250409</v>
      </c>
      <c r="D307" t="s">
        <v>406</v>
      </c>
      <c r="E307" t="s">
        <v>737</v>
      </c>
      <c r="F307" t="s">
        <v>768</v>
      </c>
      <c r="G307">
        <v>1.85</v>
      </c>
      <c r="H307">
        <v>68.400000000000006</v>
      </c>
      <c r="I307">
        <v>26.5</v>
      </c>
      <c r="J307">
        <v>34.6</v>
      </c>
      <c r="K307">
        <v>10.4</v>
      </c>
      <c r="L307">
        <v>49.5</v>
      </c>
      <c r="M307" t="s">
        <v>783</v>
      </c>
      <c r="N307" t="s">
        <v>787</v>
      </c>
      <c r="O307">
        <v>16.79</v>
      </c>
      <c r="P307">
        <v>184.7</v>
      </c>
      <c r="Q307">
        <v>186.2</v>
      </c>
      <c r="R307">
        <v>68.400000000000006</v>
      </c>
      <c r="S307">
        <v>184.3</v>
      </c>
      <c r="T307">
        <v>0</v>
      </c>
      <c r="U307" t="s">
        <v>796</v>
      </c>
      <c r="V307">
        <v>15.2</v>
      </c>
      <c r="W307">
        <v>1.56</v>
      </c>
      <c r="X307" t="s">
        <v>806</v>
      </c>
      <c r="Y307">
        <v>99.78</v>
      </c>
      <c r="Z307" t="s">
        <v>814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 t="s">
        <v>34</v>
      </c>
      <c r="B308" t="s">
        <v>97</v>
      </c>
      <c r="C308">
        <v>250423</v>
      </c>
      <c r="D308" t="s">
        <v>407</v>
      </c>
      <c r="E308" t="s">
        <v>738</v>
      </c>
      <c r="F308" t="s">
        <v>768</v>
      </c>
      <c r="G308">
        <v>1.7190000000000001</v>
      </c>
      <c r="H308">
        <v>67.900000000000006</v>
      </c>
      <c r="I308">
        <v>25.2</v>
      </c>
      <c r="J308">
        <v>36.4</v>
      </c>
      <c r="K308">
        <v>11.1</v>
      </c>
      <c r="L308">
        <v>55.6</v>
      </c>
      <c r="M308" t="s">
        <v>782</v>
      </c>
      <c r="N308" t="s">
        <v>787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 t="s">
        <v>46</v>
      </c>
      <c r="B309" t="s">
        <v>98</v>
      </c>
      <c r="C309">
        <v>250408</v>
      </c>
      <c r="D309" t="s">
        <v>408</v>
      </c>
      <c r="E309" t="s">
        <v>739</v>
      </c>
      <c r="F309" t="s">
        <v>768</v>
      </c>
      <c r="G309">
        <v>1.79</v>
      </c>
      <c r="H309">
        <v>74.400000000000006</v>
      </c>
      <c r="I309">
        <v>25.1</v>
      </c>
      <c r="J309">
        <v>36.6</v>
      </c>
      <c r="K309">
        <v>9.6</v>
      </c>
      <c r="L309">
        <v>53.5</v>
      </c>
      <c r="M309" t="s">
        <v>781</v>
      </c>
      <c r="N309" t="s">
        <v>787</v>
      </c>
      <c r="O309">
        <v>17.39</v>
      </c>
      <c r="P309">
        <v>181.4</v>
      </c>
      <c r="Q309">
        <v>181.1</v>
      </c>
      <c r="R309">
        <v>74.400000000000006</v>
      </c>
      <c r="S309">
        <v>179.8</v>
      </c>
      <c r="T309">
        <v>0</v>
      </c>
      <c r="U309" t="s">
        <v>797</v>
      </c>
      <c r="V309">
        <v>16.899999999999999</v>
      </c>
      <c r="W309">
        <v>0.47</v>
      </c>
      <c r="X309" t="s">
        <v>805</v>
      </c>
      <c r="Y309">
        <v>99.12</v>
      </c>
      <c r="Z309" t="s">
        <v>814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t="s">
        <v>47</v>
      </c>
      <c r="B310" t="s">
        <v>98</v>
      </c>
      <c r="C310">
        <v>250408</v>
      </c>
      <c r="D310" t="s">
        <v>409</v>
      </c>
      <c r="E310" t="s">
        <v>740</v>
      </c>
      <c r="F310" t="s">
        <v>768</v>
      </c>
      <c r="G310">
        <v>1.9350000000000001</v>
      </c>
      <c r="H310">
        <v>77.8</v>
      </c>
      <c r="I310">
        <v>28.2</v>
      </c>
      <c r="J310">
        <v>36.6</v>
      </c>
      <c r="K310">
        <v>10.5</v>
      </c>
      <c r="L310">
        <v>53</v>
      </c>
      <c r="M310" t="s">
        <v>776</v>
      </c>
      <c r="N310" t="s">
        <v>787</v>
      </c>
      <c r="O310">
        <v>17.95</v>
      </c>
      <c r="P310">
        <v>193</v>
      </c>
      <c r="Q310">
        <v>193.8</v>
      </c>
      <c r="R310">
        <v>79</v>
      </c>
      <c r="S310">
        <v>193.4</v>
      </c>
      <c r="T310">
        <v>0</v>
      </c>
      <c r="U310" t="s">
        <v>796</v>
      </c>
      <c r="V310">
        <v>17.2</v>
      </c>
      <c r="W310">
        <v>0.79</v>
      </c>
      <c r="X310" t="s">
        <v>805</v>
      </c>
      <c r="Y310">
        <v>100.21</v>
      </c>
      <c r="Z310" t="s">
        <v>814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 t="s">
        <v>48</v>
      </c>
      <c r="B311" t="s">
        <v>97</v>
      </c>
      <c r="C311">
        <v>250423</v>
      </c>
      <c r="D311" t="s">
        <v>410</v>
      </c>
      <c r="E311" t="s">
        <v>741</v>
      </c>
      <c r="F311" t="s">
        <v>768</v>
      </c>
      <c r="G311">
        <v>1.67</v>
      </c>
      <c r="H311">
        <v>57.5</v>
      </c>
      <c r="I311">
        <v>23.5</v>
      </c>
      <c r="J311">
        <v>33.9</v>
      </c>
      <c r="K311">
        <v>10.199999999999999</v>
      </c>
      <c r="L311">
        <v>52</v>
      </c>
      <c r="M311" t="s">
        <v>783</v>
      </c>
      <c r="N311" t="s">
        <v>788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>
      <c r="A312" t="s">
        <v>50</v>
      </c>
      <c r="B312" t="s">
        <v>98</v>
      </c>
      <c r="C312">
        <v>250408</v>
      </c>
      <c r="D312" t="s">
        <v>411</v>
      </c>
      <c r="E312" t="s">
        <v>742</v>
      </c>
      <c r="F312" t="s">
        <v>768</v>
      </c>
      <c r="G312">
        <v>1.77</v>
      </c>
      <c r="H312">
        <v>69.7</v>
      </c>
      <c r="I312">
        <v>25.8</v>
      </c>
      <c r="J312">
        <v>38.1</v>
      </c>
      <c r="K312">
        <v>10.1</v>
      </c>
      <c r="L312">
        <v>53.5</v>
      </c>
      <c r="M312" t="s">
        <v>784</v>
      </c>
      <c r="N312" t="s">
        <v>787</v>
      </c>
      <c r="O312">
        <v>17.03</v>
      </c>
      <c r="P312">
        <v>179.5</v>
      </c>
      <c r="Q312">
        <v>178.6</v>
      </c>
      <c r="R312">
        <v>69.7</v>
      </c>
      <c r="S312">
        <v>176.7</v>
      </c>
      <c r="T312">
        <v>0</v>
      </c>
      <c r="U312" t="s">
        <v>796</v>
      </c>
      <c r="V312">
        <v>17.2</v>
      </c>
      <c r="W312">
        <v>-0.17</v>
      </c>
      <c r="X312" t="s">
        <v>805</v>
      </c>
      <c r="Y312">
        <v>98.44</v>
      </c>
      <c r="Z312" t="s">
        <v>814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 t="s">
        <v>52</v>
      </c>
      <c r="B313" t="s">
        <v>97</v>
      </c>
      <c r="C313">
        <v>250423</v>
      </c>
      <c r="D313" t="s">
        <v>412</v>
      </c>
      <c r="E313" t="s">
        <v>743</v>
      </c>
      <c r="F313" t="s">
        <v>768</v>
      </c>
      <c r="G313">
        <v>1.804</v>
      </c>
      <c r="H313">
        <v>72.900000000000006</v>
      </c>
      <c r="I313">
        <v>26.4</v>
      </c>
      <c r="J313">
        <v>38.4</v>
      </c>
      <c r="K313">
        <v>11.2</v>
      </c>
      <c r="L313">
        <v>57.6</v>
      </c>
      <c r="M313" t="s">
        <v>780</v>
      </c>
      <c r="N313" t="s">
        <v>787</v>
      </c>
      <c r="O313">
        <v>16.68</v>
      </c>
      <c r="P313">
        <v>183.2</v>
      </c>
      <c r="Q313">
        <v>183</v>
      </c>
      <c r="R313">
        <v>74</v>
      </c>
      <c r="S313">
        <v>180.8</v>
      </c>
      <c r="T313">
        <v>0</v>
      </c>
      <c r="U313" t="s">
        <v>799</v>
      </c>
      <c r="V313">
        <v>15.5</v>
      </c>
      <c r="W313">
        <v>1.1399999999999999</v>
      </c>
      <c r="X313" t="s">
        <v>806</v>
      </c>
      <c r="Y313">
        <v>98.7</v>
      </c>
      <c r="Z313" t="s">
        <v>814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 t="s">
        <v>55</v>
      </c>
      <c r="B314" t="s">
        <v>96</v>
      </c>
      <c r="C314">
        <v>250409</v>
      </c>
      <c r="D314" t="s">
        <v>413</v>
      </c>
      <c r="E314" t="s">
        <v>744</v>
      </c>
      <c r="F314" t="s">
        <v>768</v>
      </c>
      <c r="G314">
        <v>1.7969999999999999</v>
      </c>
      <c r="H314">
        <v>64.599999999999994</v>
      </c>
      <c r="I314">
        <v>25</v>
      </c>
      <c r="J314">
        <v>34.6</v>
      </c>
      <c r="K314">
        <v>10.199999999999999</v>
      </c>
      <c r="L314">
        <v>51.2</v>
      </c>
      <c r="M314" t="s">
        <v>777</v>
      </c>
      <c r="N314" t="s">
        <v>788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 t="s">
        <v>57</v>
      </c>
      <c r="B315" t="s">
        <v>96</v>
      </c>
      <c r="C315">
        <v>250409</v>
      </c>
      <c r="D315" t="s">
        <v>414</v>
      </c>
      <c r="E315" t="s">
        <v>745</v>
      </c>
      <c r="F315" t="s">
        <v>768</v>
      </c>
      <c r="G315">
        <v>1.7929999999999999</v>
      </c>
      <c r="H315">
        <v>77.400000000000006</v>
      </c>
      <c r="I315">
        <v>27.5</v>
      </c>
      <c r="J315">
        <v>38</v>
      </c>
      <c r="K315">
        <v>11.8</v>
      </c>
      <c r="L315">
        <v>56.3</v>
      </c>
      <c r="M315" t="s">
        <v>780</v>
      </c>
      <c r="N315" t="s">
        <v>788</v>
      </c>
      <c r="O315">
        <v>16.66</v>
      </c>
      <c r="P315">
        <v>180.2</v>
      </c>
      <c r="Q315">
        <v>180.2</v>
      </c>
      <c r="R315">
        <v>76.7</v>
      </c>
      <c r="S315">
        <v>178.3</v>
      </c>
      <c r="T315">
        <v>0</v>
      </c>
      <c r="U315" t="s">
        <v>796</v>
      </c>
      <c r="V315">
        <v>15.1</v>
      </c>
      <c r="W315">
        <v>1.55</v>
      </c>
      <c r="X315" t="s">
        <v>806</v>
      </c>
      <c r="Y315">
        <v>98.95</v>
      </c>
      <c r="Z315" t="s">
        <v>814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 t="s">
        <v>58</v>
      </c>
      <c r="B316" t="s">
        <v>95</v>
      </c>
      <c r="C316">
        <v>250408</v>
      </c>
      <c r="D316" t="s">
        <v>415</v>
      </c>
      <c r="E316" t="s">
        <v>746</v>
      </c>
      <c r="F316" t="s">
        <v>768</v>
      </c>
      <c r="G316">
        <v>1.7</v>
      </c>
      <c r="H316">
        <v>50.5</v>
      </c>
      <c r="I316">
        <v>24.9</v>
      </c>
      <c r="J316">
        <v>33.6</v>
      </c>
      <c r="K316">
        <v>10.4</v>
      </c>
      <c r="L316">
        <v>48.7</v>
      </c>
      <c r="M316" t="s">
        <v>779</v>
      </c>
      <c r="N316" t="s">
        <v>787</v>
      </c>
      <c r="O316">
        <v>14.19</v>
      </c>
      <c r="P316">
        <v>181.6</v>
      </c>
      <c r="Q316">
        <v>178</v>
      </c>
      <c r="R316">
        <v>51</v>
      </c>
      <c r="S316">
        <v>164.7</v>
      </c>
      <c r="T316">
        <v>0</v>
      </c>
      <c r="U316" t="s">
        <v>796</v>
      </c>
      <c r="V316">
        <v>14.1</v>
      </c>
      <c r="W316">
        <v>0.13</v>
      </c>
      <c r="X316" t="s">
        <v>805</v>
      </c>
      <c r="Y316">
        <v>90.69</v>
      </c>
      <c r="Z316" t="s">
        <v>812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 t="s">
        <v>59</v>
      </c>
      <c r="B317" t="s">
        <v>95</v>
      </c>
      <c r="C317">
        <v>250408</v>
      </c>
      <c r="D317" t="s">
        <v>416</v>
      </c>
      <c r="E317" t="s">
        <v>747</v>
      </c>
      <c r="F317" t="s">
        <v>768</v>
      </c>
      <c r="G317">
        <v>1.47</v>
      </c>
      <c r="H317">
        <v>39.6</v>
      </c>
      <c r="I317">
        <v>21.5</v>
      </c>
      <c r="J317">
        <v>29.9</v>
      </c>
      <c r="K317">
        <v>8.6999999999999993</v>
      </c>
      <c r="L317">
        <v>43</v>
      </c>
      <c r="M317" t="s">
        <v>783</v>
      </c>
      <c r="N317" t="s">
        <v>787</v>
      </c>
      <c r="O317">
        <v>11.5</v>
      </c>
      <c r="P317">
        <v>176</v>
      </c>
      <c r="Q317">
        <v>176.7</v>
      </c>
      <c r="R317">
        <v>40.1</v>
      </c>
      <c r="S317">
        <v>147.30000000000001</v>
      </c>
      <c r="T317">
        <v>0</v>
      </c>
      <c r="U317" t="s">
        <v>798</v>
      </c>
      <c r="V317">
        <v>13.6</v>
      </c>
      <c r="W317">
        <v>-2.11</v>
      </c>
      <c r="X317" t="s">
        <v>807</v>
      </c>
      <c r="Y317">
        <v>83.69</v>
      </c>
      <c r="Z317" t="s">
        <v>811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 t="s">
        <v>60</v>
      </c>
      <c r="B318" t="s">
        <v>95</v>
      </c>
      <c r="C318">
        <v>250408</v>
      </c>
      <c r="D318" t="s">
        <v>417</v>
      </c>
      <c r="E318" t="s">
        <v>748</v>
      </c>
      <c r="F318" t="s">
        <v>768</v>
      </c>
      <c r="G318">
        <v>1.675</v>
      </c>
      <c r="H318">
        <v>49.2</v>
      </c>
      <c r="I318">
        <v>24.5</v>
      </c>
      <c r="J318">
        <v>32</v>
      </c>
      <c r="K318">
        <v>10.5</v>
      </c>
      <c r="L318">
        <v>46.2</v>
      </c>
      <c r="M318" t="s">
        <v>782</v>
      </c>
      <c r="N318" t="s">
        <v>787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>
      <c r="A319" t="s">
        <v>61</v>
      </c>
      <c r="B319" t="s">
        <v>95</v>
      </c>
      <c r="C319">
        <v>250408</v>
      </c>
      <c r="D319" t="s">
        <v>418</v>
      </c>
      <c r="E319" t="s">
        <v>749</v>
      </c>
      <c r="F319" t="s">
        <v>768</v>
      </c>
      <c r="G319">
        <v>1.68</v>
      </c>
      <c r="H319">
        <v>64.099999999999994</v>
      </c>
      <c r="I319">
        <v>24.4</v>
      </c>
      <c r="J319">
        <v>35.1</v>
      </c>
      <c r="K319">
        <v>10.5</v>
      </c>
      <c r="L319">
        <v>54.9</v>
      </c>
      <c r="M319" t="s">
        <v>777</v>
      </c>
      <c r="N319" t="s">
        <v>788</v>
      </c>
      <c r="O319">
        <v>14.64</v>
      </c>
      <c r="P319">
        <v>180.4</v>
      </c>
      <c r="Q319">
        <v>175.4</v>
      </c>
      <c r="R319">
        <v>61.1</v>
      </c>
      <c r="S319">
        <v>167.7</v>
      </c>
      <c r="T319">
        <v>0</v>
      </c>
      <c r="U319" t="s">
        <v>796</v>
      </c>
      <c r="V319">
        <v>14.2</v>
      </c>
      <c r="W319">
        <v>0.49</v>
      </c>
      <c r="X319" t="s">
        <v>805</v>
      </c>
      <c r="Y319">
        <v>92.96</v>
      </c>
      <c r="Z319" t="s">
        <v>812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 t="s">
        <v>63</v>
      </c>
      <c r="B320" t="s">
        <v>98</v>
      </c>
      <c r="C320">
        <v>250408</v>
      </c>
      <c r="D320" t="s">
        <v>419</v>
      </c>
      <c r="E320" t="s">
        <v>750</v>
      </c>
      <c r="F320" t="s">
        <v>768</v>
      </c>
      <c r="G320">
        <v>1.76</v>
      </c>
      <c r="H320">
        <v>69.599999999999994</v>
      </c>
      <c r="I320">
        <v>24.9</v>
      </c>
      <c r="J320">
        <v>36.6</v>
      </c>
      <c r="K320">
        <v>9.8000000000000007</v>
      </c>
      <c r="L320">
        <v>53.5</v>
      </c>
      <c r="M320" t="s">
        <v>779</v>
      </c>
      <c r="N320" t="s">
        <v>787</v>
      </c>
      <c r="O320">
        <v>16.87</v>
      </c>
      <c r="P320">
        <v>170.2</v>
      </c>
      <c r="Q320">
        <v>0</v>
      </c>
      <c r="R320">
        <v>61.7</v>
      </c>
      <c r="S320">
        <v>175.7</v>
      </c>
      <c r="T320">
        <v>0</v>
      </c>
      <c r="U320" t="s">
        <v>796</v>
      </c>
      <c r="V320">
        <v>17.2</v>
      </c>
      <c r="W320">
        <v>-0.36</v>
      </c>
      <c r="X320" t="s">
        <v>805</v>
      </c>
      <c r="Y320">
        <v>103.23</v>
      </c>
      <c r="Z320" t="s">
        <v>800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 t="s">
        <v>64</v>
      </c>
      <c r="B321" t="s">
        <v>98</v>
      </c>
      <c r="C321">
        <v>250408</v>
      </c>
      <c r="D321" t="s">
        <v>420</v>
      </c>
      <c r="E321" t="s">
        <v>751</v>
      </c>
      <c r="F321" t="s">
        <v>768</v>
      </c>
      <c r="G321">
        <v>1.7</v>
      </c>
      <c r="H321">
        <v>59.6</v>
      </c>
      <c r="I321">
        <v>25.2</v>
      </c>
      <c r="J321">
        <v>34.6</v>
      </c>
      <c r="K321">
        <v>10.4</v>
      </c>
      <c r="L321">
        <v>51</v>
      </c>
      <c r="M321" t="s">
        <v>782</v>
      </c>
      <c r="N321" t="s">
        <v>787</v>
      </c>
      <c r="O321">
        <v>15.83</v>
      </c>
      <c r="P321">
        <v>175.4</v>
      </c>
      <c r="Q321">
        <v>0</v>
      </c>
      <c r="R321">
        <v>59</v>
      </c>
      <c r="S321">
        <v>169.5</v>
      </c>
      <c r="T321">
        <v>0</v>
      </c>
      <c r="U321" t="s">
        <v>796</v>
      </c>
      <c r="V321">
        <v>17.100000000000001</v>
      </c>
      <c r="W321">
        <v>-1.31</v>
      </c>
      <c r="X321" t="s">
        <v>808</v>
      </c>
      <c r="Y321">
        <v>96.64</v>
      </c>
      <c r="Z321" t="s">
        <v>813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 t="s">
        <v>68</v>
      </c>
      <c r="B322" t="s">
        <v>98</v>
      </c>
      <c r="C322">
        <v>250408</v>
      </c>
      <c r="D322" t="s">
        <v>421</v>
      </c>
      <c r="E322" t="s">
        <v>752</v>
      </c>
      <c r="F322" t="s">
        <v>768</v>
      </c>
      <c r="G322">
        <v>1.8680000000000001</v>
      </c>
      <c r="H322">
        <v>77.900000000000006</v>
      </c>
      <c r="I322">
        <v>27.5</v>
      </c>
      <c r="J322">
        <v>36</v>
      </c>
      <c r="K322">
        <v>11</v>
      </c>
      <c r="L322">
        <v>53.9</v>
      </c>
      <c r="M322" t="s">
        <v>780</v>
      </c>
      <c r="N322" t="s">
        <v>788</v>
      </c>
      <c r="O322">
        <v>16.579999999999998</v>
      </c>
      <c r="P322">
        <v>186</v>
      </c>
      <c r="Q322">
        <v>188.1</v>
      </c>
      <c r="R322">
        <v>78</v>
      </c>
      <c r="S322">
        <v>186</v>
      </c>
      <c r="T322">
        <v>0</v>
      </c>
      <c r="U322" t="s">
        <v>799</v>
      </c>
      <c r="V322">
        <v>16.3</v>
      </c>
      <c r="W322">
        <v>0.26</v>
      </c>
      <c r="X322" t="s">
        <v>805</v>
      </c>
      <c r="Y322">
        <v>100</v>
      </c>
      <c r="Z322" t="s">
        <v>814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t="s">
        <v>65</v>
      </c>
      <c r="B323" t="s">
        <v>98</v>
      </c>
      <c r="C323">
        <v>250408</v>
      </c>
      <c r="D323" t="s">
        <v>422</v>
      </c>
      <c r="E323" t="s">
        <v>753</v>
      </c>
      <c r="F323" t="s">
        <v>768</v>
      </c>
      <c r="G323">
        <v>1.9239999999999999</v>
      </c>
      <c r="H323">
        <v>92.8</v>
      </c>
      <c r="I323">
        <v>28.4</v>
      </c>
      <c r="J323">
        <v>40.6</v>
      </c>
      <c r="K323">
        <v>12</v>
      </c>
      <c r="L323">
        <v>65</v>
      </c>
      <c r="M323" t="s">
        <v>780</v>
      </c>
      <c r="N323" t="s">
        <v>788</v>
      </c>
      <c r="O323">
        <v>18.11</v>
      </c>
      <c r="P323">
        <v>191</v>
      </c>
      <c r="Q323">
        <v>0</v>
      </c>
      <c r="R323">
        <v>92</v>
      </c>
      <c r="S323">
        <v>191</v>
      </c>
      <c r="T323">
        <v>0</v>
      </c>
      <c r="U323" t="s">
        <v>796</v>
      </c>
      <c r="V323">
        <v>17.100000000000001</v>
      </c>
      <c r="W323">
        <v>1</v>
      </c>
      <c r="X323" t="s">
        <v>805</v>
      </c>
      <c r="Y323">
        <v>100</v>
      </c>
      <c r="Z323" t="s">
        <v>814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 t="s">
        <v>66</v>
      </c>
      <c r="B324" t="s">
        <v>98</v>
      </c>
      <c r="C324">
        <v>250408</v>
      </c>
      <c r="D324" t="s">
        <v>423</v>
      </c>
      <c r="E324" t="s">
        <v>754</v>
      </c>
      <c r="F324" t="s">
        <v>768</v>
      </c>
      <c r="G324">
        <v>1.6479999999999999</v>
      </c>
      <c r="H324">
        <v>61.7</v>
      </c>
      <c r="I324">
        <v>24.4</v>
      </c>
      <c r="J324">
        <v>36.5</v>
      </c>
      <c r="K324">
        <v>9.9</v>
      </c>
      <c r="L324">
        <v>54</v>
      </c>
      <c r="M324" t="s">
        <v>778</v>
      </c>
      <c r="N324" t="s">
        <v>787</v>
      </c>
      <c r="O324">
        <v>15.94</v>
      </c>
      <c r="P324">
        <v>170.2</v>
      </c>
      <c r="Q324">
        <v>0</v>
      </c>
      <c r="R324">
        <v>61.7</v>
      </c>
      <c r="S324">
        <v>164.3</v>
      </c>
      <c r="T324">
        <v>0</v>
      </c>
      <c r="U324" t="s">
        <v>798</v>
      </c>
      <c r="V324">
        <v>16.7</v>
      </c>
      <c r="W324">
        <v>-0.72</v>
      </c>
      <c r="X324" t="s">
        <v>805</v>
      </c>
      <c r="Y324">
        <v>96.53</v>
      </c>
      <c r="Z324" t="s">
        <v>813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 t="s">
        <v>70</v>
      </c>
      <c r="B325" t="s">
        <v>97</v>
      </c>
      <c r="C325">
        <v>250414</v>
      </c>
      <c r="D325" t="s">
        <v>424</v>
      </c>
      <c r="E325" t="s">
        <v>755</v>
      </c>
      <c r="F325" t="s">
        <v>768</v>
      </c>
      <c r="G325">
        <v>1.875</v>
      </c>
      <c r="H325">
        <v>83.8</v>
      </c>
      <c r="I325">
        <v>27.5</v>
      </c>
      <c r="J325">
        <v>39</v>
      </c>
      <c r="K325">
        <v>11.2</v>
      </c>
      <c r="L325">
        <v>60</v>
      </c>
      <c r="M325" t="s">
        <v>776</v>
      </c>
      <c r="N325" t="s">
        <v>787</v>
      </c>
      <c r="O325">
        <v>17.920000000000002</v>
      </c>
      <c r="P325">
        <v>188</v>
      </c>
      <c r="Q325">
        <v>0</v>
      </c>
      <c r="R325">
        <v>85</v>
      </c>
      <c r="S325">
        <v>187.8</v>
      </c>
      <c r="T325">
        <v>0</v>
      </c>
      <c r="U325" t="s">
        <v>799</v>
      </c>
      <c r="V325">
        <v>15.6</v>
      </c>
      <c r="W325">
        <v>2.31</v>
      </c>
      <c r="X325" t="s">
        <v>804</v>
      </c>
      <c r="Y325">
        <v>99.89</v>
      </c>
      <c r="Z325" t="s">
        <v>814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t="s">
        <v>90</v>
      </c>
      <c r="B326" t="s">
        <v>98</v>
      </c>
      <c r="C326">
        <v>250408</v>
      </c>
      <c r="D326" t="s">
        <v>425</v>
      </c>
      <c r="E326" t="s">
        <v>756</v>
      </c>
      <c r="F326" t="s">
        <v>768</v>
      </c>
      <c r="G326">
        <v>1.71</v>
      </c>
      <c r="H326">
        <v>68.5</v>
      </c>
      <c r="I326">
        <v>26.9</v>
      </c>
      <c r="J326">
        <v>36.799999999999997</v>
      </c>
      <c r="K326">
        <v>10</v>
      </c>
      <c r="L326">
        <v>56.1</v>
      </c>
      <c r="M326" t="s">
        <v>784</v>
      </c>
      <c r="N326" t="s">
        <v>787</v>
      </c>
      <c r="O326">
        <v>16.260000000000002</v>
      </c>
      <c r="P326">
        <v>175.4</v>
      </c>
      <c r="Q326">
        <v>173.6</v>
      </c>
      <c r="R326">
        <v>68.3</v>
      </c>
      <c r="S326">
        <v>171.2</v>
      </c>
      <c r="T326">
        <v>0</v>
      </c>
      <c r="U326" t="s">
        <v>796</v>
      </c>
      <c r="V326">
        <v>17.2</v>
      </c>
      <c r="W326">
        <v>-0.92</v>
      </c>
      <c r="X326" t="s">
        <v>805</v>
      </c>
      <c r="Y326">
        <v>97.61</v>
      </c>
      <c r="Z326" t="s">
        <v>814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t="s">
        <v>72</v>
      </c>
      <c r="B327" t="s">
        <v>98</v>
      </c>
      <c r="C327">
        <v>250409</v>
      </c>
      <c r="D327" t="s">
        <v>426</v>
      </c>
      <c r="E327" t="s">
        <v>757</v>
      </c>
      <c r="F327" t="s">
        <v>768</v>
      </c>
      <c r="G327">
        <v>1.7549999999999999</v>
      </c>
      <c r="H327">
        <v>68.900000000000006</v>
      </c>
      <c r="I327">
        <v>26.5</v>
      </c>
      <c r="J327">
        <v>36</v>
      </c>
      <c r="K327">
        <v>10.199999999999999</v>
      </c>
      <c r="L327">
        <v>53</v>
      </c>
      <c r="M327" t="s">
        <v>778</v>
      </c>
      <c r="N327" t="s">
        <v>788</v>
      </c>
      <c r="O327">
        <v>16.73</v>
      </c>
      <c r="P327">
        <v>179.3</v>
      </c>
      <c r="Q327">
        <v>178</v>
      </c>
      <c r="R327">
        <v>69.599999999999994</v>
      </c>
      <c r="S327">
        <v>175.9</v>
      </c>
      <c r="T327">
        <v>0</v>
      </c>
      <c r="U327" t="s">
        <v>797</v>
      </c>
      <c r="V327">
        <v>16.899999999999999</v>
      </c>
      <c r="W327">
        <v>-0.19</v>
      </c>
      <c r="X327" t="s">
        <v>805</v>
      </c>
      <c r="Y327">
        <v>98.1</v>
      </c>
      <c r="Z327" t="s">
        <v>814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 t="s">
        <v>73</v>
      </c>
      <c r="B328" t="s">
        <v>98</v>
      </c>
      <c r="C328">
        <v>250408</v>
      </c>
      <c r="D328" t="s">
        <v>427</v>
      </c>
      <c r="E328" t="s">
        <v>758</v>
      </c>
      <c r="F328" t="s">
        <v>768</v>
      </c>
      <c r="G328">
        <v>1.71</v>
      </c>
      <c r="H328">
        <v>58.2</v>
      </c>
      <c r="I328">
        <v>23.8</v>
      </c>
      <c r="J328">
        <v>34.9</v>
      </c>
      <c r="K328">
        <v>9.6999999999999993</v>
      </c>
      <c r="L328">
        <v>50.2</v>
      </c>
      <c r="M328" t="s">
        <v>783</v>
      </c>
      <c r="N328" t="s">
        <v>787</v>
      </c>
      <c r="O328">
        <v>16.27</v>
      </c>
      <c r="P328">
        <v>174.5</v>
      </c>
      <c r="Q328">
        <v>172.6</v>
      </c>
      <c r="R328">
        <v>58.5</v>
      </c>
      <c r="S328">
        <v>170.2</v>
      </c>
      <c r="T328">
        <v>0</v>
      </c>
      <c r="U328" t="s">
        <v>796</v>
      </c>
      <c r="V328">
        <v>17.2</v>
      </c>
      <c r="W328">
        <v>-0.88</v>
      </c>
      <c r="X328" t="s">
        <v>805</v>
      </c>
      <c r="Y328">
        <v>97.54</v>
      </c>
      <c r="Z328" t="s">
        <v>814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t="s">
        <v>74</v>
      </c>
      <c r="B329" t="s">
        <v>98</v>
      </c>
      <c r="C329">
        <v>250414</v>
      </c>
      <c r="D329" t="s">
        <v>428</v>
      </c>
      <c r="E329" t="s">
        <v>759</v>
      </c>
      <c r="F329" t="s">
        <v>768</v>
      </c>
      <c r="G329">
        <v>1.85</v>
      </c>
      <c r="H329">
        <v>73.900000000000006</v>
      </c>
      <c r="I329">
        <v>27.3</v>
      </c>
      <c r="J329">
        <v>37.5</v>
      </c>
      <c r="K329">
        <v>10</v>
      </c>
      <c r="L329">
        <v>54</v>
      </c>
      <c r="M329" t="s">
        <v>780</v>
      </c>
      <c r="N329" t="s">
        <v>788</v>
      </c>
      <c r="O329">
        <v>17.12</v>
      </c>
      <c r="P329">
        <v>186.9</v>
      </c>
      <c r="Q329">
        <v>186.7</v>
      </c>
      <c r="R329">
        <v>75</v>
      </c>
      <c r="S329">
        <v>195.3</v>
      </c>
      <c r="T329">
        <v>0</v>
      </c>
      <c r="U329" t="s">
        <v>796</v>
      </c>
      <c r="V329">
        <v>17.2</v>
      </c>
      <c r="W329">
        <v>-0.1</v>
      </c>
      <c r="X329" t="s">
        <v>805</v>
      </c>
      <c r="Y329">
        <v>104.49</v>
      </c>
      <c r="Z329" t="s">
        <v>800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 t="s">
        <v>75</v>
      </c>
      <c r="B330" t="s">
        <v>94</v>
      </c>
      <c r="C330">
        <v>250410</v>
      </c>
      <c r="D330" t="s">
        <v>429</v>
      </c>
      <c r="E330" t="s">
        <v>760</v>
      </c>
      <c r="F330" t="s">
        <v>768</v>
      </c>
      <c r="G330">
        <v>1.516</v>
      </c>
      <c r="H330">
        <v>44.5</v>
      </c>
      <c r="I330">
        <v>23</v>
      </c>
      <c r="J330">
        <v>30.9</v>
      </c>
      <c r="K330">
        <v>9.5</v>
      </c>
      <c r="L330">
        <v>47.4</v>
      </c>
      <c r="M330" t="s">
        <v>783</v>
      </c>
      <c r="N330" t="s">
        <v>787</v>
      </c>
      <c r="O330">
        <v>12.05</v>
      </c>
      <c r="P330">
        <v>177.8</v>
      </c>
      <c r="Q330">
        <v>179.9</v>
      </c>
      <c r="R330">
        <v>44.9</v>
      </c>
      <c r="S330">
        <v>161.69999999999999</v>
      </c>
      <c r="T330">
        <v>0</v>
      </c>
      <c r="U330" t="s">
        <v>799</v>
      </c>
      <c r="V330">
        <v>12.6</v>
      </c>
      <c r="W330">
        <v>-0.56999999999999995</v>
      </c>
      <c r="X330" t="s">
        <v>805</v>
      </c>
      <c r="Y330">
        <v>90.94</v>
      </c>
      <c r="Z330" t="s">
        <v>812</v>
      </c>
      <c r="AA330">
        <v>35.581153248740378</v>
      </c>
      <c r="AB330">
        <v>32.737476352667784</v>
      </c>
      <c r="AC330">
        <v>36.468468173193891</v>
      </c>
      <c r="AD330">
        <v>38.143472319228927</v>
      </c>
      <c r="AE330">
        <v>24.609360622223036</v>
      </c>
      <c r="AF330">
        <v>24.850057266961858</v>
      </c>
      <c r="AG330">
        <v>36.548254250402799</v>
      </c>
      <c r="AH330">
        <v>5.4941436478755463</v>
      </c>
      <c r="AI330">
        <v>0.19193010522939685</v>
      </c>
      <c r="AJ330">
        <v>0.19193010522939685</v>
      </c>
      <c r="AK330">
        <v>2.3195238258482638E-2</v>
      </c>
      <c r="AL330">
        <v>2.1899431886058647</v>
      </c>
    </row>
    <row r="331" spans="1:38">
      <c r="A331" t="s">
        <v>76</v>
      </c>
      <c r="B331" t="s">
        <v>94</v>
      </c>
      <c r="C331">
        <v>250410</v>
      </c>
      <c r="D331" t="s">
        <v>430</v>
      </c>
      <c r="E331" t="s">
        <v>761</v>
      </c>
      <c r="F331" t="s">
        <v>768</v>
      </c>
      <c r="G331">
        <v>1.629</v>
      </c>
      <c r="H331">
        <v>50.5</v>
      </c>
      <c r="I331">
        <v>25.2</v>
      </c>
      <c r="J331">
        <v>33.9</v>
      </c>
      <c r="K331">
        <v>10</v>
      </c>
      <c r="L331">
        <v>49.2</v>
      </c>
      <c r="M331" t="s">
        <v>780</v>
      </c>
      <c r="N331" t="s">
        <v>787</v>
      </c>
      <c r="O331">
        <v>13.03</v>
      </c>
      <c r="P331">
        <v>181</v>
      </c>
      <c r="Q331">
        <v>174.8</v>
      </c>
      <c r="R331">
        <v>51.1</v>
      </c>
      <c r="S331">
        <v>161.6</v>
      </c>
      <c r="T331">
        <v>0</v>
      </c>
      <c r="U331" t="s">
        <v>797</v>
      </c>
      <c r="V331">
        <v>13</v>
      </c>
      <c r="W331">
        <v>0</v>
      </c>
      <c r="X331" t="s">
        <v>805</v>
      </c>
      <c r="Y331">
        <v>89.28</v>
      </c>
      <c r="Z331" t="s">
        <v>812</v>
      </c>
      <c r="AA331">
        <v>37.715918595977207</v>
      </c>
      <c r="AB331">
        <v>37.195198518720062</v>
      </c>
      <c r="AC331">
        <v>41.192096552456775</v>
      </c>
      <c r="AD331">
        <v>40.55616919201556</v>
      </c>
      <c r="AE331">
        <v>26.766799841377008</v>
      </c>
      <c r="AF331">
        <v>26.001276376522082</v>
      </c>
      <c r="AG331">
        <v>39.58001463395042</v>
      </c>
      <c r="AH331">
        <v>6.2349270610722494</v>
      </c>
      <c r="AI331">
        <v>0.2742585698713797</v>
      </c>
      <c r="AJ331">
        <v>0.2742585698713797</v>
      </c>
      <c r="AK331">
        <v>2.9823742176683491E-2</v>
      </c>
      <c r="AL331">
        <v>2.4852164275190147</v>
      </c>
    </row>
  </sheetData>
  <autoFilter ref="A1:AL331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96DD-6AEC-984B-96B3-C4F1412AFB1D}">
  <dimension ref="A1:I20"/>
  <sheetViews>
    <sheetView tabSelected="1" zoomScale="127" workbookViewId="0">
      <selection activeCell="J9" sqref="J9"/>
    </sheetView>
  </sheetViews>
  <sheetFormatPr baseColWidth="10" defaultRowHeight="15"/>
  <cols>
    <col min="1" max="1" width="19.33203125" customWidth="1"/>
  </cols>
  <sheetData>
    <row r="1" spans="1:9">
      <c r="A1" s="5"/>
      <c r="B1" s="5"/>
      <c r="C1" s="5">
        <v>202311</v>
      </c>
      <c r="D1" s="5">
        <v>202403</v>
      </c>
      <c r="E1" s="5">
        <v>202311</v>
      </c>
      <c r="F1" s="5">
        <v>202308</v>
      </c>
      <c r="G1" s="5">
        <v>202311</v>
      </c>
      <c r="H1" s="5">
        <v>202403</v>
      </c>
      <c r="I1" s="5">
        <v>202411</v>
      </c>
    </row>
    <row r="2" spans="1:9">
      <c r="A2" s="6" t="s">
        <v>827</v>
      </c>
      <c r="B2" s="6" t="s">
        <v>838</v>
      </c>
      <c r="C2" s="5" t="s">
        <v>2</v>
      </c>
      <c r="D2" s="5" t="s">
        <v>27</v>
      </c>
      <c r="E2" s="5" t="s">
        <v>29</v>
      </c>
      <c r="F2" s="5" t="s">
        <v>44</v>
      </c>
      <c r="G2" s="5" t="s">
        <v>52</v>
      </c>
      <c r="H2" s="5" t="s">
        <v>61</v>
      </c>
      <c r="I2" s="5" t="s">
        <v>72</v>
      </c>
    </row>
    <row r="3" spans="1:9">
      <c r="A3" s="1" t="s">
        <v>769</v>
      </c>
      <c r="B3" s="1" t="s">
        <v>828</v>
      </c>
      <c r="C3">
        <v>1.45</v>
      </c>
      <c r="D3">
        <v>1.5960000000000001</v>
      </c>
      <c r="E3">
        <v>1.625</v>
      </c>
      <c r="F3">
        <v>1.76</v>
      </c>
      <c r="G3">
        <v>1.758</v>
      </c>
      <c r="H3">
        <v>1.661</v>
      </c>
      <c r="I3">
        <v>1.7549999999999999</v>
      </c>
    </row>
    <row r="4" spans="1:9">
      <c r="A4" s="1" t="s">
        <v>770</v>
      </c>
      <c r="B4" s="1" t="s">
        <v>829</v>
      </c>
      <c r="C4">
        <v>35.9</v>
      </c>
      <c r="D4">
        <v>42.5</v>
      </c>
      <c r="E4">
        <v>50.8</v>
      </c>
      <c r="F4">
        <v>63.2</v>
      </c>
      <c r="G4">
        <v>68.2</v>
      </c>
      <c r="H4">
        <v>62.4</v>
      </c>
      <c r="I4">
        <v>68.900000000000006</v>
      </c>
    </row>
    <row r="5" spans="1:9">
      <c r="A5" s="2" t="s">
        <v>842</v>
      </c>
      <c r="B5" s="1"/>
      <c r="C5">
        <v>11</v>
      </c>
      <c r="D5">
        <v>13</v>
      </c>
      <c r="E5">
        <v>13</v>
      </c>
      <c r="F5">
        <v>16</v>
      </c>
      <c r="G5">
        <v>15</v>
      </c>
      <c r="H5">
        <v>14</v>
      </c>
      <c r="I5">
        <v>17</v>
      </c>
    </row>
    <row r="7" spans="1:9">
      <c r="A7" s="2" t="s">
        <v>836</v>
      </c>
      <c r="C7" s="3" t="s">
        <v>841</v>
      </c>
      <c r="D7" s="3" t="s">
        <v>841</v>
      </c>
      <c r="E7" s="3" t="s">
        <v>841</v>
      </c>
      <c r="F7" s="3" t="s">
        <v>841</v>
      </c>
      <c r="G7" s="3" t="s">
        <v>841</v>
      </c>
      <c r="H7" s="3" t="s">
        <v>845</v>
      </c>
      <c r="I7" s="3" t="s">
        <v>845</v>
      </c>
    </row>
    <row r="8" spans="1:9">
      <c r="A8" s="4" t="s">
        <v>837</v>
      </c>
      <c r="C8" s="3" t="s">
        <v>841</v>
      </c>
      <c r="D8" s="3" t="s">
        <v>841</v>
      </c>
      <c r="E8" s="3" t="s">
        <v>845</v>
      </c>
      <c r="F8" s="3" t="s">
        <v>845</v>
      </c>
      <c r="G8" s="3" t="s">
        <v>841</v>
      </c>
      <c r="H8" s="3" t="s">
        <v>845</v>
      </c>
      <c r="I8" s="3" t="s">
        <v>845</v>
      </c>
    </row>
    <row r="9" spans="1:9">
      <c r="A9" s="4" t="s">
        <v>847</v>
      </c>
      <c r="C9" s="3" t="s">
        <v>848</v>
      </c>
      <c r="D9" s="3" t="s">
        <v>848</v>
      </c>
      <c r="E9" s="3" t="s">
        <v>849</v>
      </c>
      <c r="F9" s="3" t="s">
        <v>849</v>
      </c>
      <c r="G9" s="3" t="s">
        <v>848</v>
      </c>
      <c r="H9" s="3" t="s">
        <v>848</v>
      </c>
      <c r="I9" s="3" t="s">
        <v>848</v>
      </c>
    </row>
    <row r="11" spans="1:9">
      <c r="A11" s="4" t="s">
        <v>833</v>
      </c>
    </row>
    <row r="12" spans="1:9">
      <c r="A12" s="2" t="s">
        <v>834</v>
      </c>
      <c r="B12" s="2" t="s">
        <v>844</v>
      </c>
      <c r="C12">
        <v>33.880000000000003</v>
      </c>
      <c r="D12">
        <v>38.74</v>
      </c>
      <c r="E12">
        <v>38.61</v>
      </c>
      <c r="F12">
        <v>41.31</v>
      </c>
      <c r="G12">
        <v>43.36</v>
      </c>
      <c r="H12">
        <v>37.58</v>
      </c>
      <c r="I12">
        <v>41.97</v>
      </c>
    </row>
    <row r="13" spans="1:9">
      <c r="A13" s="2" t="s">
        <v>835</v>
      </c>
      <c r="B13" s="1" t="s">
        <v>843</v>
      </c>
      <c r="C13">
        <v>34.479999999999997</v>
      </c>
      <c r="D13">
        <v>38.479999999999997</v>
      </c>
      <c r="E13">
        <v>40.53</v>
      </c>
      <c r="F13">
        <v>41.4</v>
      </c>
      <c r="G13">
        <v>42.53</v>
      </c>
      <c r="H13">
        <v>38.83</v>
      </c>
      <c r="I13">
        <v>41.26</v>
      </c>
    </row>
    <row r="14" spans="1:9">
      <c r="A14" s="2" t="s">
        <v>840</v>
      </c>
      <c r="B14" s="3" t="s">
        <v>843</v>
      </c>
      <c r="C14">
        <f>C12-C13</f>
        <v>-0.59999999999999432</v>
      </c>
      <c r="D14">
        <f t="shared" ref="D14:I14" si="0">D12-D13</f>
        <v>0.26000000000000512</v>
      </c>
      <c r="E14">
        <f t="shared" si="0"/>
        <v>-1.9200000000000017</v>
      </c>
      <c r="F14">
        <f t="shared" si="0"/>
        <v>-8.9999999999996305E-2</v>
      </c>
      <c r="G14">
        <f t="shared" si="0"/>
        <v>0.82999999999999829</v>
      </c>
      <c r="H14">
        <f t="shared" si="0"/>
        <v>-1.25</v>
      </c>
      <c r="I14">
        <f t="shared" si="0"/>
        <v>0.71000000000000085</v>
      </c>
    </row>
    <row r="15" spans="1:9">
      <c r="A15" s="4" t="s">
        <v>832</v>
      </c>
    </row>
    <row r="16" spans="1:9">
      <c r="A16" s="2" t="s">
        <v>830</v>
      </c>
      <c r="B16" s="1" t="s">
        <v>843</v>
      </c>
      <c r="C16">
        <v>33.340000000000003</v>
      </c>
      <c r="D16">
        <v>36.33</v>
      </c>
      <c r="E16">
        <v>35.61</v>
      </c>
      <c r="F16">
        <v>40.5</v>
      </c>
      <c r="G16">
        <v>39.67</v>
      </c>
      <c r="H16">
        <v>35.74</v>
      </c>
      <c r="I16">
        <v>40.869999999999997</v>
      </c>
    </row>
    <row r="17" spans="1:9">
      <c r="A17" s="2" t="s">
        <v>831</v>
      </c>
      <c r="B17" s="1" t="s">
        <v>843</v>
      </c>
      <c r="C17">
        <v>30.35</v>
      </c>
      <c r="D17">
        <v>36.72</v>
      </c>
      <c r="E17">
        <v>34.32</v>
      </c>
      <c r="F17">
        <v>40.770000000000003</v>
      </c>
      <c r="G17">
        <v>39.200000000000003</v>
      </c>
      <c r="H17">
        <v>35.909999999999997</v>
      </c>
      <c r="I17">
        <v>39.229999999999997</v>
      </c>
    </row>
    <row r="18" spans="1:9">
      <c r="A18" s="2" t="s">
        <v>839</v>
      </c>
      <c r="B18" s="4" t="s">
        <v>843</v>
      </c>
      <c r="C18">
        <f>C16-C17</f>
        <v>2.990000000000002</v>
      </c>
      <c r="D18">
        <f>D16-D17</f>
        <v>-0.39000000000000057</v>
      </c>
      <c r="E18">
        <f t="shared" ref="E18:I18" si="1">E16-E17</f>
        <v>1.2899999999999991</v>
      </c>
      <c r="F18">
        <f t="shared" si="1"/>
        <v>-0.27000000000000313</v>
      </c>
      <c r="G18">
        <f t="shared" si="1"/>
        <v>0.46999999999999886</v>
      </c>
      <c r="H18">
        <f t="shared" si="1"/>
        <v>-0.1699999999999946</v>
      </c>
      <c r="I18">
        <f t="shared" si="1"/>
        <v>1.6400000000000006</v>
      </c>
    </row>
    <row r="19" spans="1:9">
      <c r="A19" s="2"/>
    </row>
    <row r="20" spans="1:9">
      <c r="A20" s="2" t="s">
        <v>846</v>
      </c>
      <c r="B20" s="4" t="s">
        <v>843</v>
      </c>
      <c r="C20">
        <f>C14+C18</f>
        <v>2.3900000000000077</v>
      </c>
      <c r="D20">
        <f t="shared" ref="D20:I20" si="2">D14+D18</f>
        <v>-0.12999999999999545</v>
      </c>
      <c r="E20">
        <f t="shared" si="2"/>
        <v>-0.63000000000000256</v>
      </c>
      <c r="F20">
        <f t="shared" si="2"/>
        <v>-0.35999999999999943</v>
      </c>
      <c r="G20">
        <f t="shared" si="2"/>
        <v>1.2999999999999972</v>
      </c>
      <c r="H20">
        <f t="shared" si="2"/>
        <v>-1.4199999999999946</v>
      </c>
      <c r="I20">
        <f t="shared" si="2"/>
        <v>2.3500000000000014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anthro_tsm11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Yifei Wang</cp:lastModifiedBy>
  <dcterms:modified xsi:type="dcterms:W3CDTF">2026-03-25T21:46:16Z</dcterms:modified>
</cp:coreProperties>
</file>