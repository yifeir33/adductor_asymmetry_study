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fei/Documents/dshs/tsm11/milestone/"/>
    </mc:Choice>
  </mc:AlternateContent>
  <xr:revisionPtr revIDLastSave="0" documentId="13_ncr:1_{604324CD-6511-874E-A24D-54FFD1EB63E6}" xr6:coauthVersionLast="47" xr6:coauthVersionMax="47" xr10:uidLastSave="{00000000-0000-0000-0000-000000000000}"/>
  <bookViews>
    <workbookView xWindow="9340" yWindow="1200" windowWidth="27840" windowHeight="16940" activeTab="1" xr2:uid="{A1600DCC-8274-5144-AC42-7D73CF8FFB5D}"/>
  </bookViews>
  <sheets>
    <sheet name="sameside" sheetId="1" r:id="rId1"/>
    <sheet name="diffside" sheetId="2" r:id="rId2"/>
    <sheet name="significant result" sheetId="3" r:id="rId3"/>
    <sheet name="passes collect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9" i="1"/>
  <c r="B9" i="1"/>
  <c r="J9" i="4"/>
  <c r="I9" i="4"/>
  <c r="H9" i="4"/>
  <c r="D9" i="4"/>
  <c r="D3" i="4"/>
  <c r="D4" i="4"/>
  <c r="D5" i="4"/>
  <c r="D6" i="4"/>
  <c r="D7" i="4"/>
  <c r="D8" i="4"/>
  <c r="D2" i="4"/>
  <c r="E2" i="3"/>
  <c r="D9" i="2"/>
  <c r="E9" i="2"/>
  <c r="F9" i="2"/>
  <c r="G9" i="2"/>
  <c r="H9" i="2"/>
  <c r="I9" i="2"/>
  <c r="C9" i="2"/>
  <c r="D9" i="1"/>
  <c r="E9" i="1"/>
  <c r="F9" i="1"/>
  <c r="G9" i="1"/>
  <c r="H9" i="1"/>
  <c r="I9" i="1"/>
</calcChain>
</file>

<file path=xl/sharedStrings.xml><?xml version="1.0" encoding="utf-8"?>
<sst xmlns="http://schemas.openxmlformats.org/spreadsheetml/2006/main" count="86" uniqueCount="45">
  <si>
    <t>Subject</t>
  </si>
  <si>
    <t>hipFlexionAngle</t>
  </si>
  <si>
    <t>hipAdductionAngle</t>
  </si>
  <si>
    <t>hipRotationAngle</t>
  </si>
  <si>
    <t>kneeFlexionAngle</t>
  </si>
  <si>
    <t>hipFlexionMoment</t>
  </si>
  <si>
    <t>hipAdductionMoment</t>
  </si>
  <si>
    <t>hipRotationMoment</t>
  </si>
  <si>
    <t>kneeFlexionMoment</t>
  </si>
  <si>
    <t>P02_202311</t>
  </si>
  <si>
    <t>P32_202403</t>
  </si>
  <si>
    <t>P34_202311</t>
  </si>
  <si>
    <t>P53_202308</t>
  </si>
  <si>
    <t>P64_202311</t>
  </si>
  <si>
    <t>P74_202403</t>
  </si>
  <si>
    <t>P88_202411</t>
  </si>
  <si>
    <t>hipRotationationMoment</t>
  </si>
  <si>
    <t>mean of same</t>
    <phoneticPr fontId="1" type="noConversion"/>
  </si>
  <si>
    <t>mean of diff</t>
    <phoneticPr fontId="1" type="noConversion"/>
  </si>
  <si>
    <t>Group</t>
  </si>
  <si>
    <t>Type</t>
  </si>
  <si>
    <t>Variable</t>
  </si>
  <si>
    <t>Subjects</t>
  </si>
  <si>
    <t>Median_diff</t>
  </si>
  <si>
    <t>Mean_diff</t>
  </si>
  <si>
    <t>SD_diff</t>
  </si>
  <si>
    <t>p_value</t>
  </si>
  <si>
    <t>Significant</t>
  </si>
  <si>
    <t>SAME</t>
  </si>
  <si>
    <t>IK</t>
  </si>
  <si>
    <t>ID</t>
  </si>
  <si>
    <t>Not Significant</t>
  </si>
  <si>
    <t>Not Significant</t>
    <phoneticPr fontId="1" type="noConversion"/>
  </si>
  <si>
    <t>Significant</t>
    <phoneticPr fontId="1" type="noConversion"/>
  </si>
  <si>
    <t>P02</t>
    <phoneticPr fontId="1" type="noConversion"/>
  </si>
  <si>
    <t>L</t>
    <phoneticPr fontId="1" type="noConversion"/>
  </si>
  <si>
    <t>R</t>
    <phoneticPr fontId="1" type="noConversion"/>
  </si>
  <si>
    <t>total</t>
    <phoneticPr fontId="1" type="noConversion"/>
  </si>
  <si>
    <t>invalid passes</t>
    <phoneticPr fontId="1" type="noConversion"/>
  </si>
  <si>
    <t>P32</t>
    <phoneticPr fontId="1" type="noConversion"/>
  </si>
  <si>
    <t>P34</t>
    <phoneticPr fontId="1" type="noConversion"/>
  </si>
  <si>
    <t>P53</t>
    <phoneticPr fontId="1" type="noConversion"/>
  </si>
  <si>
    <t>P64</t>
    <phoneticPr fontId="1" type="noConversion"/>
  </si>
  <si>
    <t>P74</t>
    <phoneticPr fontId="1" type="noConversion"/>
  </si>
  <si>
    <t>P88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</si>
</sst>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.5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8D03-9ADF-9C41-A8FC-612FD3C52FE5}">
  <dimension ref="A1:I17"/>
  <sheetViews>
    <sheetView zoomScale="89" workbookViewId="0">
      <selection activeCell="I6" sqref="I6"/>
    </sheetView>
  </sheetViews>
  <sheetFormatPr baseColWidth="10" defaultRowHeight="16"/>
  <cols>
    <col min="1" max="1" width="13" customWidth="1"/>
    <col min="2" max="2" width="15.5" customWidth="1"/>
    <col min="3" max="3" width="20.83203125" customWidth="1"/>
    <col min="4" max="4" width="16.1640625" customWidth="1"/>
    <col min="5" max="5" width="18.83203125" customWidth="1"/>
    <col min="6" max="6" width="21.1640625" customWidth="1"/>
    <col min="7" max="7" width="24.5" customWidth="1"/>
    <col min="8" max="8" width="17.1640625" customWidth="1"/>
    <col min="9" max="9" width="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2">
        <v>71.563000000000002</v>
      </c>
      <c r="C2" s="2">
        <v>11.675000000000001</v>
      </c>
      <c r="D2" s="2">
        <v>22.611999999999998</v>
      </c>
      <c r="E2" s="2">
        <v>98.034000000000006</v>
      </c>
      <c r="F2" s="2">
        <v>212.62700000000001</v>
      </c>
      <c r="G2" s="2">
        <v>316.18200000000002</v>
      </c>
      <c r="H2" s="2">
        <v>183.86199999999999</v>
      </c>
      <c r="I2" s="2">
        <v>78.742999999999995</v>
      </c>
    </row>
    <row r="3" spans="1:9">
      <c r="A3" t="s">
        <v>10</v>
      </c>
      <c r="B3" s="2">
        <v>43.905000000000001</v>
      </c>
      <c r="C3" s="2">
        <v>6.6589999999999998</v>
      </c>
      <c r="D3" s="2">
        <v>29.846</v>
      </c>
      <c r="E3" s="2">
        <v>114.792</v>
      </c>
      <c r="F3" s="2">
        <v>98.165999999999997</v>
      </c>
      <c r="G3" s="2">
        <v>92.468999999999994</v>
      </c>
      <c r="H3" s="2">
        <v>39.042999999999999</v>
      </c>
      <c r="I3" s="2">
        <v>58.853999999999999</v>
      </c>
    </row>
    <row r="4" spans="1:9">
      <c r="A4" t="s">
        <v>11</v>
      </c>
      <c r="B4" s="2">
        <v>49.177999999999997</v>
      </c>
      <c r="C4" s="2">
        <v>8.0690000000000008</v>
      </c>
      <c r="D4" s="2">
        <v>33.076999999999998</v>
      </c>
      <c r="E4" s="2">
        <v>109.982</v>
      </c>
      <c r="F4" s="2">
        <v>136.82499999999999</v>
      </c>
      <c r="G4" s="2">
        <v>123.583</v>
      </c>
      <c r="H4" s="2">
        <v>55.896000000000001</v>
      </c>
      <c r="I4" s="2">
        <v>94.085999999999999</v>
      </c>
    </row>
    <row r="5" spans="1:9">
      <c r="A5" t="s">
        <v>12</v>
      </c>
      <c r="B5" s="2">
        <v>70.531999999999996</v>
      </c>
      <c r="C5" s="2">
        <v>9.1340000000000003</v>
      </c>
      <c r="D5" s="2">
        <v>24.977</v>
      </c>
      <c r="E5" s="2">
        <v>103.143</v>
      </c>
      <c r="F5" s="2">
        <v>189.57400000000001</v>
      </c>
      <c r="G5" s="2">
        <v>490.113</v>
      </c>
      <c r="H5" s="2">
        <v>98.691999999999993</v>
      </c>
      <c r="I5" s="2">
        <v>128.00200000000001</v>
      </c>
    </row>
    <row r="6" spans="1:9">
      <c r="A6" t="s">
        <v>13</v>
      </c>
      <c r="B6" s="2">
        <v>40.524999999999999</v>
      </c>
      <c r="C6" s="2">
        <v>17.986999999999998</v>
      </c>
      <c r="D6" s="2">
        <v>27.622</v>
      </c>
      <c r="E6" s="2">
        <v>104.376</v>
      </c>
      <c r="F6" s="2">
        <v>294.63299999999998</v>
      </c>
      <c r="G6" s="2">
        <v>214.21899999999999</v>
      </c>
      <c r="H6" s="2">
        <v>272.685</v>
      </c>
      <c r="I6" s="2">
        <v>211.19300000000001</v>
      </c>
    </row>
    <row r="7" spans="1:9">
      <c r="A7" t="s">
        <v>14</v>
      </c>
      <c r="B7" s="2">
        <v>81.697000000000003</v>
      </c>
      <c r="C7" s="2">
        <v>7.4749999999999996</v>
      </c>
      <c r="D7" s="2">
        <v>39.01</v>
      </c>
      <c r="E7" s="2">
        <v>109.357</v>
      </c>
      <c r="F7" s="2">
        <v>252.99</v>
      </c>
      <c r="G7" s="2">
        <v>330.86799999999999</v>
      </c>
      <c r="H7" s="2">
        <v>40.816000000000003</v>
      </c>
      <c r="I7" s="2">
        <v>148.95599999999999</v>
      </c>
    </row>
    <row r="8" spans="1:9">
      <c r="A8" t="s">
        <v>15</v>
      </c>
      <c r="B8" s="2">
        <v>38.241999999999997</v>
      </c>
      <c r="C8" s="2">
        <v>20.437000000000001</v>
      </c>
      <c r="D8" s="2">
        <v>43.375999999999998</v>
      </c>
      <c r="E8" s="2">
        <v>101.922</v>
      </c>
      <c r="F8" s="2">
        <v>282.55</v>
      </c>
      <c r="G8" s="2">
        <v>255.25</v>
      </c>
      <c r="H8" s="2">
        <v>53.694000000000003</v>
      </c>
      <c r="I8" s="2">
        <v>156.393</v>
      </c>
    </row>
    <row r="9" spans="1:9">
      <c r="A9" t="s">
        <v>17</v>
      </c>
      <c r="B9" s="2">
        <f>AVERAGE(B2,B3,B8,B7,B6)</f>
        <v>55.186400000000006</v>
      </c>
      <c r="C9" s="2">
        <f>AVERAGE(C2,C3,C6,C7,C8)</f>
        <v>12.8466</v>
      </c>
      <c r="D9" s="2">
        <f>AVERAGE(D2,D3,D8,D7,D6)</f>
        <v>32.493200000000002</v>
      </c>
      <c r="E9" s="2">
        <f>AVERAGE(E2,E3,E6,E7,E8)</f>
        <v>105.6962</v>
      </c>
      <c r="F9" s="2">
        <f>AVERAGE(F2,F3,F8,F7,F6)</f>
        <v>228.19320000000002</v>
      </c>
      <c r="G9" s="2">
        <f>AVERAGE(G2,G3,G6,G7,G8)</f>
        <v>241.79760000000002</v>
      </c>
      <c r="H9" s="2">
        <f>AVERAGE(H2,H3,H8,H7,H6)</f>
        <v>118.01999999999998</v>
      </c>
      <c r="I9" s="2">
        <f>AVERAGE(I2,I3,I6,I7,I8)</f>
        <v>130.8278</v>
      </c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CE24-B85A-C640-AB3F-5547B1E33BC7}">
  <dimension ref="A1:I9"/>
  <sheetViews>
    <sheetView tabSelected="1" topLeftCell="B1" workbookViewId="0">
      <selection activeCell="C6" sqref="C6"/>
    </sheetView>
  </sheetViews>
  <sheetFormatPr baseColWidth="10" defaultRowHeight="16"/>
  <cols>
    <col min="2" max="2" width="17.5" customWidth="1"/>
    <col min="3" max="3" width="19" customWidth="1"/>
    <col min="4" max="4" width="19.1640625" customWidth="1"/>
    <col min="5" max="5" width="22.1640625" customWidth="1"/>
    <col min="6" max="6" width="19.83203125" customWidth="1"/>
    <col min="7" max="7" width="27" customWidth="1"/>
    <col min="8" max="8" width="23" customWidth="1"/>
    <col min="9" max="9" width="21.1640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8</v>
      </c>
    </row>
    <row r="2" spans="1:9">
      <c r="A2" t="s">
        <v>9</v>
      </c>
      <c r="B2" s="2">
        <v>31.542999999999999</v>
      </c>
      <c r="C2" s="2">
        <v>-4.9619999999999997</v>
      </c>
      <c r="D2" s="2">
        <v>41.78</v>
      </c>
      <c r="E2" s="2">
        <v>96</v>
      </c>
      <c r="F2" s="2">
        <v>109.08</v>
      </c>
      <c r="G2" s="2">
        <v>259.673</v>
      </c>
      <c r="H2" s="2">
        <v>53.094000000000001</v>
      </c>
      <c r="I2" s="2">
        <v>111.91500000000001</v>
      </c>
    </row>
    <row r="3" spans="1:9">
      <c r="A3" t="s">
        <v>10</v>
      </c>
      <c r="B3" s="2">
        <v>48.970999999999997</v>
      </c>
      <c r="C3" s="2">
        <v>6.6020000000000003</v>
      </c>
      <c r="D3" s="2">
        <v>33.899000000000001</v>
      </c>
      <c r="E3" s="2">
        <v>105.254</v>
      </c>
      <c r="F3" s="2">
        <v>166.249</v>
      </c>
      <c r="G3" s="2">
        <v>139.19999999999999</v>
      </c>
      <c r="H3" s="2">
        <v>80.385000000000005</v>
      </c>
      <c r="I3" s="2">
        <v>72.483999999999995</v>
      </c>
    </row>
    <row r="4" spans="1:9">
      <c r="A4" t="s">
        <v>11</v>
      </c>
      <c r="B4" s="2">
        <v>33.463999999999999</v>
      </c>
      <c r="C4" s="2">
        <v>0.96</v>
      </c>
      <c r="D4" s="2">
        <v>32.225999999999999</v>
      </c>
      <c r="E4" s="2">
        <v>102.396</v>
      </c>
      <c r="F4" s="2">
        <v>282.01900000000001</v>
      </c>
      <c r="G4" s="2">
        <v>124.33199999999999</v>
      </c>
      <c r="H4" s="2">
        <v>42.759</v>
      </c>
      <c r="I4" s="2">
        <v>71.534999999999997</v>
      </c>
    </row>
    <row r="5" spans="1:9">
      <c r="A5" t="s">
        <v>12</v>
      </c>
      <c r="B5" s="2">
        <v>45.179000000000002</v>
      </c>
      <c r="C5" s="2">
        <v>2.819</v>
      </c>
      <c r="D5" s="2">
        <v>21.36</v>
      </c>
      <c r="E5" s="2">
        <v>94.456000000000003</v>
      </c>
      <c r="F5" s="2">
        <v>124.878</v>
      </c>
      <c r="G5" s="2">
        <v>125.526</v>
      </c>
      <c r="H5" s="2">
        <v>21.809000000000001</v>
      </c>
      <c r="I5" s="2">
        <v>70.335999999999999</v>
      </c>
    </row>
    <row r="6" spans="1:9">
      <c r="A6" t="s">
        <v>13</v>
      </c>
      <c r="B6" s="2">
        <v>18.331</v>
      </c>
      <c r="C6" s="2">
        <v>-21.609000000000002</v>
      </c>
      <c r="D6" s="2">
        <v>48.195</v>
      </c>
      <c r="E6" s="2">
        <v>97.516999999999996</v>
      </c>
      <c r="F6" s="2">
        <v>193.78700000000001</v>
      </c>
      <c r="G6" s="2">
        <v>207.64599999999999</v>
      </c>
      <c r="H6" s="2">
        <v>16.734999999999999</v>
      </c>
      <c r="I6" s="2">
        <v>117.646</v>
      </c>
    </row>
    <row r="7" spans="1:9">
      <c r="A7" t="s">
        <v>14</v>
      </c>
      <c r="B7" s="2">
        <v>33.814999999999998</v>
      </c>
      <c r="C7" s="2">
        <v>6.4610000000000003</v>
      </c>
      <c r="D7" s="2">
        <v>29.175000000000001</v>
      </c>
      <c r="E7" s="2">
        <v>92.921000000000006</v>
      </c>
      <c r="F7" s="2">
        <v>241.91399999999999</v>
      </c>
      <c r="G7" s="2">
        <v>157.74299999999999</v>
      </c>
      <c r="H7" s="2">
        <v>19.838999999999999</v>
      </c>
      <c r="I7" s="2">
        <v>82.468000000000004</v>
      </c>
    </row>
    <row r="8" spans="1:9">
      <c r="A8" t="s">
        <v>15</v>
      </c>
      <c r="B8" s="2">
        <v>34.253999999999998</v>
      </c>
      <c r="C8" s="2">
        <v>3.7530000000000001</v>
      </c>
      <c r="D8" s="2">
        <v>20.844000000000001</v>
      </c>
      <c r="E8" s="2">
        <v>82.257999999999996</v>
      </c>
      <c r="F8" s="2">
        <v>223.06800000000001</v>
      </c>
      <c r="G8" s="2">
        <v>141.96799999999999</v>
      </c>
      <c r="H8" s="2">
        <v>32.054000000000002</v>
      </c>
      <c r="I8" s="2">
        <v>120.015</v>
      </c>
    </row>
    <row r="9" spans="1:9">
      <c r="A9" t="s">
        <v>18</v>
      </c>
      <c r="B9" s="2">
        <f>AVERAGE(B2,B3,B6,B7,B8)</f>
        <v>33.382799999999996</v>
      </c>
      <c r="C9" s="2">
        <f>AVERAGE(C2,C3,C6,C7,C8)</f>
        <v>-1.9510000000000001</v>
      </c>
      <c r="D9" s="2">
        <f>AVERAGE(D2,D3,D6,D7,D8)</f>
        <v>34.778599999999997</v>
      </c>
      <c r="E9" s="2">
        <f>AVERAGE(E2,E3,E6,E7,E8)</f>
        <v>94.789999999999992</v>
      </c>
      <c r="F9" s="2">
        <f>AVERAGE(F2,F3,F6,F7,F8)</f>
        <v>186.81959999999998</v>
      </c>
      <c r="G9" s="2">
        <f>AVERAGE(G2,G3,G6,G7,G8)</f>
        <v>181.24599999999998</v>
      </c>
      <c r="H9" s="2">
        <f>AVERAGE(H2,H3,H6,H7,H8)</f>
        <v>40.421399999999998</v>
      </c>
      <c r="I9" s="2">
        <f>AVERAGE(I2,I3,I6,I7,I8)</f>
        <v>100.90560000000001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20BF-45B5-9144-9EE2-88F65FCDBB38}">
  <dimension ref="A1:I9"/>
  <sheetViews>
    <sheetView workbookViewId="0">
      <selection activeCell="F14" sqref="F14"/>
    </sheetView>
  </sheetViews>
  <sheetFormatPr baseColWidth="10" defaultRowHeight="16"/>
  <cols>
    <col min="4" max="4" width="19.1640625" customWidth="1"/>
    <col min="5" max="5" width="22.5" customWidth="1"/>
  </cols>
  <sheetData>
    <row r="1" spans="1:9">
      <c r="A1" s="1" t="s">
        <v>19</v>
      </c>
      <c r="B1" s="1" t="s">
        <v>20</v>
      </c>
      <c r="C1" s="1" t="s">
        <v>22</v>
      </c>
      <c r="D1" s="1" t="s">
        <v>21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28</v>
      </c>
      <c r="B2" t="s">
        <v>29</v>
      </c>
      <c r="C2">
        <v>5</v>
      </c>
      <c r="D2" t="s">
        <v>1</v>
      </c>
      <c r="E2" s="2">
        <f>-1.94</f>
        <v>-1.94</v>
      </c>
      <c r="F2" s="2">
        <v>2.57</v>
      </c>
      <c r="G2" s="2">
        <v>9.7650000000000006</v>
      </c>
      <c r="H2">
        <v>4.4000000000000003E-3</v>
      </c>
      <c r="I2" t="s">
        <v>27</v>
      </c>
    </row>
    <row r="3" spans="1:9">
      <c r="A3" t="s">
        <v>28</v>
      </c>
      <c r="B3" t="s">
        <v>29</v>
      </c>
      <c r="C3">
        <v>5</v>
      </c>
      <c r="D3" t="s">
        <v>2</v>
      </c>
      <c r="E3" s="2">
        <v>5.7889999999999997</v>
      </c>
      <c r="F3" s="2">
        <v>9.4649999999999999</v>
      </c>
      <c r="G3" s="2">
        <v>8.8940000000000001</v>
      </c>
      <c r="H3">
        <v>0</v>
      </c>
      <c r="I3" t="s">
        <v>27</v>
      </c>
    </row>
    <row r="4" spans="1:9">
      <c r="A4" t="s">
        <v>28</v>
      </c>
      <c r="B4" t="s">
        <v>29</v>
      </c>
      <c r="C4">
        <v>5</v>
      </c>
      <c r="D4" t="s">
        <v>3</v>
      </c>
      <c r="E4" s="2">
        <v>0.81100000000000005</v>
      </c>
      <c r="F4" s="2">
        <v>-6.9790000000000001</v>
      </c>
      <c r="G4" s="2">
        <v>14.183999999999999</v>
      </c>
      <c r="H4">
        <v>1.2999999999999999E-3</v>
      </c>
      <c r="I4" t="s">
        <v>27</v>
      </c>
    </row>
    <row r="5" spans="1:9">
      <c r="A5" t="s">
        <v>28</v>
      </c>
      <c r="B5" t="s">
        <v>29</v>
      </c>
      <c r="C5">
        <v>5</v>
      </c>
      <c r="D5" t="s">
        <v>4</v>
      </c>
      <c r="E5" s="2">
        <v>-5.1109999999999998</v>
      </c>
      <c r="F5" s="2">
        <v>-4.0640000000000001</v>
      </c>
      <c r="G5" s="2">
        <v>11.193</v>
      </c>
      <c r="H5">
        <v>9.74E-2</v>
      </c>
      <c r="I5" t="s">
        <v>32</v>
      </c>
    </row>
    <row r="6" spans="1:9">
      <c r="A6" t="s">
        <v>28</v>
      </c>
      <c r="B6" t="s">
        <v>30</v>
      </c>
      <c r="C6">
        <v>5</v>
      </c>
      <c r="D6" t="s">
        <v>5</v>
      </c>
      <c r="E6" s="2">
        <v>0.57199999999999995</v>
      </c>
      <c r="F6" s="2">
        <v>-1.623</v>
      </c>
      <c r="G6" s="2">
        <v>9.5950000000000006</v>
      </c>
      <c r="H6">
        <v>0.53359999999999996</v>
      </c>
      <c r="I6" t="s">
        <v>32</v>
      </c>
    </row>
    <row r="7" spans="1:9">
      <c r="A7" t="s">
        <v>28</v>
      </c>
      <c r="B7" t="s">
        <v>30</v>
      </c>
      <c r="C7">
        <v>5</v>
      </c>
      <c r="D7" t="s">
        <v>6</v>
      </c>
      <c r="E7" s="2">
        <v>-0.77300000000000002</v>
      </c>
      <c r="F7" s="2">
        <v>-13.282999999999999</v>
      </c>
      <c r="G7" s="2">
        <v>45.106999999999999</v>
      </c>
      <c r="H7">
        <v>0.26319999999999999</v>
      </c>
      <c r="I7" t="s">
        <v>31</v>
      </c>
    </row>
    <row r="8" spans="1:9">
      <c r="A8" t="s">
        <v>28</v>
      </c>
      <c r="B8" t="s">
        <v>30</v>
      </c>
      <c r="C8">
        <v>5</v>
      </c>
      <c r="D8" t="s">
        <v>7</v>
      </c>
      <c r="E8" s="2">
        <v>3.2949999999999999</v>
      </c>
      <c r="F8" s="2">
        <v>1.8160000000000001</v>
      </c>
      <c r="G8" s="2">
        <v>2.88</v>
      </c>
      <c r="H8">
        <v>0.2021</v>
      </c>
      <c r="I8" t="s">
        <v>31</v>
      </c>
    </row>
    <row r="9" spans="1:9">
      <c r="A9" t="s">
        <v>28</v>
      </c>
      <c r="B9" t="s">
        <v>30</v>
      </c>
      <c r="C9">
        <v>5</v>
      </c>
      <c r="D9" t="s">
        <v>8</v>
      </c>
      <c r="E9" s="2">
        <v>-0.376</v>
      </c>
      <c r="F9" s="2">
        <v>-3.6709999999999998</v>
      </c>
      <c r="G9" s="2">
        <v>5.2770000000000001</v>
      </c>
      <c r="H9">
        <v>6.0000000000000001E-3</v>
      </c>
      <c r="I9" t="s">
        <v>33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8D32-E6B7-F041-B505-181924C1076E}">
  <dimension ref="A1:J9"/>
  <sheetViews>
    <sheetView workbookViewId="0">
      <selection activeCell="J10" sqref="J10"/>
    </sheetView>
  </sheetViews>
  <sheetFormatPr baseColWidth="10" defaultRowHeight="16"/>
  <sheetData>
    <row r="1" spans="1:10">
      <c r="B1" t="s">
        <v>35</v>
      </c>
      <c r="C1" t="s">
        <v>36</v>
      </c>
      <c r="D1" t="s">
        <v>37</v>
      </c>
      <c r="E1" t="s">
        <v>38</v>
      </c>
    </row>
    <row r="2" spans="1:10">
      <c r="A2" t="s">
        <v>34</v>
      </c>
      <c r="B2">
        <v>9</v>
      </c>
      <c r="C2">
        <v>9</v>
      </c>
      <c r="D2">
        <f>C2+B2</f>
        <v>18</v>
      </c>
      <c r="E2">
        <v>6</v>
      </c>
      <c r="H2">
        <v>13</v>
      </c>
      <c r="I2">
        <v>11</v>
      </c>
    </row>
    <row r="3" spans="1:10" ht="17" thickBot="1">
      <c r="A3" t="s">
        <v>39</v>
      </c>
      <c r="B3">
        <v>15</v>
      </c>
      <c r="C3">
        <v>16</v>
      </c>
      <c r="D3">
        <f t="shared" ref="D3:D8" si="0">C3+B3</f>
        <v>31</v>
      </c>
      <c r="E3">
        <v>1</v>
      </c>
      <c r="H3">
        <v>15</v>
      </c>
      <c r="I3">
        <v>17</v>
      </c>
    </row>
    <row r="4" spans="1:10" ht="17" thickBot="1">
      <c r="A4" t="s">
        <v>40</v>
      </c>
      <c r="B4">
        <v>8</v>
      </c>
      <c r="C4">
        <v>25</v>
      </c>
      <c r="D4">
        <f t="shared" si="0"/>
        <v>33</v>
      </c>
      <c r="E4">
        <v>1</v>
      </c>
      <c r="H4" s="3">
        <v>9</v>
      </c>
      <c r="I4" s="4">
        <v>25</v>
      </c>
    </row>
    <row r="5" spans="1:10" ht="17" thickBot="1">
      <c r="A5" t="s">
        <v>41</v>
      </c>
      <c r="B5">
        <v>3</v>
      </c>
      <c r="C5">
        <v>14</v>
      </c>
      <c r="D5">
        <f t="shared" si="0"/>
        <v>17</v>
      </c>
      <c r="E5">
        <v>3</v>
      </c>
      <c r="H5" s="5">
        <v>3</v>
      </c>
      <c r="I5" s="6">
        <v>17</v>
      </c>
    </row>
    <row r="6" spans="1:10" ht="17" thickBot="1">
      <c r="A6" t="s">
        <v>42</v>
      </c>
      <c r="B6">
        <v>1</v>
      </c>
      <c r="C6">
        <v>8</v>
      </c>
      <c r="D6">
        <f t="shared" si="0"/>
        <v>9</v>
      </c>
      <c r="E6">
        <v>3</v>
      </c>
      <c r="H6" s="5">
        <v>2</v>
      </c>
      <c r="I6" s="6">
        <v>10</v>
      </c>
    </row>
    <row r="7" spans="1:10" ht="17" thickBot="1">
      <c r="A7" t="s">
        <v>43</v>
      </c>
      <c r="B7">
        <v>16</v>
      </c>
      <c r="C7">
        <v>9</v>
      </c>
      <c r="D7">
        <f t="shared" si="0"/>
        <v>25</v>
      </c>
      <c r="E7">
        <v>3</v>
      </c>
      <c r="H7" s="5">
        <v>19</v>
      </c>
      <c r="I7" s="6">
        <v>9</v>
      </c>
    </row>
    <row r="8" spans="1:10" ht="17" thickBot="1">
      <c r="A8" t="s">
        <v>44</v>
      </c>
      <c r="B8">
        <v>21</v>
      </c>
      <c r="C8">
        <v>4</v>
      </c>
      <c r="D8">
        <f t="shared" si="0"/>
        <v>25</v>
      </c>
      <c r="E8">
        <v>6</v>
      </c>
      <c r="H8" s="5">
        <v>26</v>
      </c>
      <c r="I8" s="6">
        <v>5</v>
      </c>
    </row>
    <row r="9" spans="1:10">
      <c r="D9">
        <f>SUM(D2:D8)</f>
        <v>158</v>
      </c>
      <c r="H9">
        <f>SUM(H2:H8)</f>
        <v>87</v>
      </c>
      <c r="I9">
        <f>SUM(I2:I8)</f>
        <v>94</v>
      </c>
      <c r="J9">
        <f>SUM(H9:I9)</f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sameside</vt:lpstr>
      <vt:lpstr>diffside</vt:lpstr>
      <vt:lpstr>significant result</vt:lpstr>
      <vt:lpstr>passes collected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Yifei Wang</dc:creator>
  <cp:lastModifiedBy>Yifei Wang</cp:lastModifiedBy>
  <dcterms:created xsi:type="dcterms:W3CDTF">2026-02-01T15:37:13Z</dcterms:created>
  <dcterms:modified xsi:type="dcterms:W3CDTF">2026-03-25T21:46:13Z</dcterms:modified>
</cp:coreProperties>
</file>